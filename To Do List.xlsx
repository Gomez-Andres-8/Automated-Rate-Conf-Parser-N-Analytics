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filterPrivacy="1" codeName="ThisWorkbook"/>
  <xr:revisionPtr revIDLastSave="0" documentId="13_ncr:1_{A2FE9E02-77D4-5A4D-95C4-6FF548697C99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To Do List" sheetId="1" r:id="rId1"/>
    <sheet name="MAP Checklist" sheetId="3" r:id="rId2"/>
    <sheet name="Dispatch Automation" sheetId="4" r:id="rId3"/>
    <sheet name="Expense Tracking" sheetId="5" r:id="rId4"/>
    <sheet name="Analytics Dashboard" sheetId="6" r:id="rId5"/>
    <sheet name="Smarter Extraction" sheetId="7" r:id="rId6"/>
    <sheet name="Settings &amp; Calculations" sheetId="2" r:id="rId7"/>
  </sheets>
  <definedNames>
    <definedName name="HighlightActivities" localSheetId="4">'Analytics Dashboard'!$G$5</definedName>
    <definedName name="HighlightActivities" localSheetId="2">'Dispatch Automation'!$G$5</definedName>
    <definedName name="HighlightActivities" localSheetId="3">'Expense Tracking'!$G$5</definedName>
    <definedName name="HighlightActivities" localSheetId="1">'MAP Checklist'!$G$5</definedName>
    <definedName name="HighlightActivities" localSheetId="5">'Smarter Extraction'!$G$5</definedName>
    <definedName name="HighlightActivities">'To Do List'!$G$5</definedName>
    <definedName name="lstToDoHighlights">'Settings &amp; Calculations'!$E$5:$E$15</definedName>
    <definedName name="_xlnm.Print_Area" localSheetId="4">'Analytics Dashboard'!$A$1:$H$13</definedName>
    <definedName name="_xlnm.Print_Area" localSheetId="2">'Dispatch Automation'!$A$1:$H$14</definedName>
    <definedName name="_xlnm.Print_Area" localSheetId="3">'Expense Tracking'!$A$1:$H$13</definedName>
    <definedName name="_xlnm.Print_Area" localSheetId="1">'MAP Checklist'!$A$1:$H$14</definedName>
    <definedName name="_xlnm.Print_Area" localSheetId="5">'Smarter Extraction'!$A$1:$H$12</definedName>
    <definedName name="_xlnm.Print_Area" localSheetId="0">'To Do List'!$A$1:$H$14</definedName>
    <definedName name="Print_Area_Reset" localSheetId="4">OFFSET('Analytics Dashboard'!$A:$H,0,0,COUNTA('Analytics Dashboard'!$B:$B)+5)</definedName>
    <definedName name="Print_Area_Reset" localSheetId="2">OFFSET('Dispatch Automation'!$A:$H,0,0,COUNTA('Dispatch Automation'!$B:$B)+5)</definedName>
    <definedName name="Print_Area_Reset" localSheetId="3">OFFSET('Expense Tracking'!$A:$H,0,0,COUNTA('Expense Tracking'!$B:$B)+5)</definedName>
    <definedName name="Print_Area_Reset" localSheetId="1">OFFSET('MAP Checklist'!$A:$H,0,0,COUNTA('MAP Checklist'!$B:$B)+5)</definedName>
    <definedName name="Print_Area_Reset" localSheetId="5">OFFSET('Smarter Extraction'!$A:$H,0,0,COUNTA('Smarter Extraction'!$B:$B)+5)</definedName>
    <definedName name="Print_Area_Reset">OFFSET('To Do List'!$A:$H,0,0,COUNTA('To Do List'!$B:$B)+5)</definedName>
    <definedName name="valHEnd">'Settings &amp; Calculations'!$C$18</definedName>
    <definedName name="valHStart">'Settings &amp; Calculations'!$C$17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C5" i="1" s="1"/>
  <c r="E5" i="7"/>
  <c r="F5" i="7" s="1"/>
  <c r="B6" i="7"/>
  <c r="E5" i="6"/>
  <c r="F5" i="6" s="1"/>
  <c r="B6" i="6"/>
  <c r="B6" i="5"/>
  <c r="B6" i="4"/>
  <c r="B6" i="3"/>
  <c r="E5" i="5"/>
  <c r="F5" i="5" s="1"/>
  <c r="E5" i="4"/>
  <c r="F5" i="4" s="1"/>
  <c r="E5" i="3"/>
  <c r="F5" i="3" s="1"/>
  <c r="F5" i="1"/>
  <c r="D16" i="2"/>
  <c r="E5" i="2" l="1"/>
  <c r="E15" i="2"/>
  <c r="C10" i="2" l="1"/>
  <c r="C9" i="2"/>
  <c r="D9" i="2" s="1"/>
  <c r="C8" i="2"/>
  <c r="C7" i="2"/>
  <c r="E11" i="2" l="1"/>
  <c r="C15" i="2" l="1"/>
  <c r="E10" i="2"/>
  <c r="C14" i="2"/>
  <c r="C13" i="2"/>
  <c r="C12" i="2"/>
  <c r="D7" i="2"/>
  <c r="E7" i="2" s="1"/>
  <c r="D10" i="2"/>
  <c r="E9" i="2"/>
  <c r="D8" i="2"/>
  <c r="E8" i="2" s="1"/>
  <c r="D15" i="2" l="1"/>
  <c r="D14" i="2"/>
  <c r="E14" i="2" s="1"/>
  <c r="D13" i="2"/>
  <c r="E13" i="2" s="1"/>
  <c r="D12" i="2"/>
  <c r="E12" i="2" s="1"/>
  <c r="C16" i="2" l="1"/>
  <c r="E16" i="2" s="1"/>
  <c r="C17" i="2" l="1"/>
  <c r="C18" i="2" l="1"/>
</calcChain>
</file>

<file path=xl/sharedStrings.xml><?xml version="1.0" encoding="utf-8"?>
<sst xmlns="http://schemas.openxmlformats.org/spreadsheetml/2006/main" count="149" uniqueCount="75">
  <si>
    <t>Activity</t>
  </si>
  <si>
    <t>Notes</t>
  </si>
  <si>
    <t>Budget</t>
  </si>
  <si>
    <t>Planning</t>
  </si>
  <si>
    <t>Progress</t>
  </si>
  <si>
    <t>Highlight Start</t>
  </si>
  <si>
    <t>Highlight End</t>
  </si>
  <si>
    <t>To be completed by:</t>
  </si>
  <si>
    <t>Deadline:</t>
  </si>
  <si>
    <t>Due By</t>
  </si>
  <si>
    <t>Highlight Activities</t>
  </si>
  <si>
    <t>Due:</t>
  </si>
  <si>
    <t>Interval:</t>
  </si>
  <si>
    <t>Start:</t>
  </si>
  <si>
    <t>End:</t>
  </si>
  <si>
    <t>No Highlight</t>
  </si>
  <si>
    <t xml:space="preserve"> </t>
  </si>
  <si>
    <t>Project To Do List</t>
  </si>
  <si>
    <t>Selected Highlight:</t>
  </si>
  <si>
    <t>Highlight Settings</t>
  </si>
  <si>
    <t>This Week</t>
  </si>
  <si>
    <t>This Month</t>
  </si>
  <si>
    <t>This Quarter</t>
  </si>
  <si>
    <t>This Year</t>
  </si>
  <si>
    <t>Last Week</t>
  </si>
  <si>
    <t>Last Month</t>
  </si>
  <si>
    <t>Last Quarter</t>
  </si>
  <si>
    <t>Last Year</t>
  </si>
  <si>
    <t>Done</t>
  </si>
  <si>
    <t>The tables below store settings and calculations for the Highlight Activities drop down list.
Any changes could result in errors or loss of functionality.</t>
  </si>
  <si>
    <t>Andres Gomez</t>
  </si>
  <si>
    <t>Days left:</t>
  </si>
  <si>
    <t>Automated Rate Confirmation Parser and Analytics Platform</t>
  </si>
  <si>
    <t>Manual Assisted Parser</t>
  </si>
  <si>
    <t>Dispatch Automation</t>
  </si>
  <si>
    <t>Expense Tracking</t>
  </si>
  <si>
    <t>Analytics Dashboard</t>
  </si>
  <si>
    <t>Smarter Extraction</t>
  </si>
  <si>
    <t>This Week [15 Jun - 21 Jun]</t>
  </si>
  <si>
    <t>PDF Upload</t>
  </si>
  <si>
    <t>Text Extraction</t>
  </si>
  <si>
    <t>LLM/regex parsing into structured fields</t>
  </si>
  <si>
    <t>Editable Form</t>
  </si>
  <si>
    <t>Save to database</t>
  </si>
  <si>
    <t>Copyable Driver Message</t>
  </si>
  <si>
    <t>Driver Table</t>
  </si>
  <si>
    <t>Truck Table</t>
  </si>
  <si>
    <t>Driver Email Selection</t>
  </si>
  <si>
    <t>Email Template</t>
  </si>
  <si>
    <t>Send Email Button</t>
  </si>
  <si>
    <t>Sent-Message Log</t>
  </si>
  <si>
    <t>Diesel Input</t>
  </si>
  <si>
    <t>Maintenance Input</t>
  </si>
  <si>
    <t>Tolls/lumpers</t>
  </si>
  <si>
    <t>Reciepts Upload</t>
  </si>
  <si>
    <t>Associate expenses with truck and/or load</t>
  </si>
  <si>
    <t>Revenue By Truck</t>
  </si>
  <si>
    <t>Rate per mile</t>
  </si>
  <si>
    <t>Fuel cost per mule</t>
  </si>
  <si>
    <t>Gross margin by load</t>
  </si>
  <si>
    <t>Broker performance</t>
  </si>
  <si>
    <t>Maintenance by Truck</t>
  </si>
  <si>
    <t>broker-specific parsing rules</t>
  </si>
  <si>
    <t>confidence scores</t>
  </si>
  <si>
    <t>flagged missing fields</t>
  </si>
  <si>
    <t>duplicate load detection</t>
  </si>
  <si>
    <t>OCR/scanned PDF support</t>
  </si>
  <si>
    <t>Not important</t>
  </si>
  <si>
    <t>This Month [1 - 30, Jun]</t>
  </si>
  <si>
    <t>To be completed by</t>
  </si>
  <si>
    <t>Overall Progress</t>
  </si>
  <si>
    <t>Deadline</t>
  </si>
  <si>
    <t>Days left</t>
  </si>
  <si>
    <t>Streamlit App; Supabase DB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</si>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</sst>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</numFmts>
  <fonts count="10" x14ac:knownFonts="1">
    <font>
      <sz val="10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22"/>
      <color theme="0"/>
      <name val="Posterama"/>
      <family val="2"/>
      <scheme val="major"/>
    </font>
    <font>
      <b/>
      <sz val="18"/>
      <color theme="0"/>
      <name val="Posterama"/>
      <family val="1"/>
      <scheme val="major"/>
    </font>
    <font>
      <b/>
      <sz val="12"/>
      <color theme="1"/>
      <name val="Tahoma"/>
      <family val="2"/>
      <scheme val="minor"/>
    </font>
    <font>
      <sz val="48"/>
      <color theme="1"/>
      <name val="Tahoma"/>
      <family val="2"/>
      <scheme val="minor"/>
    </font>
    <font>
      <sz val="48"/>
      <color theme="1"/>
      <name val="Posterama"/>
      <family val="2"/>
      <scheme val="major"/>
    </font>
    <font>
      <b/>
      <sz val="16"/>
      <color theme="1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59">
    <xf numFmtId="0" fontId="0" fillId="0" borderId="0" xfId="0"/>
    <xf numFmtId="0" fontId="7" fillId="3" borderId="0" xfId="0" applyFont="1" applyFill="1"/>
    <xf numFmtId="0" fontId="6" fillId="6" borderId="0" xfId="0" applyFont="1" applyFill="1" applyAlignment="1">
      <alignment horizontal="left" vertical="center" indent="1"/>
    </xf>
    <xf numFmtId="164" fontId="6" fillId="6" borderId="0" xfId="0" applyNumberFormat="1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indent="1"/>
    </xf>
    <xf numFmtId="164" fontId="2" fillId="3" borderId="0" xfId="0" applyNumberFormat="1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164" fontId="2" fillId="7" borderId="0" xfId="0" applyNumberFormat="1" applyFont="1" applyFill="1" applyAlignment="1">
      <alignment horizontal="left" vertical="center" indent="1"/>
    </xf>
    <xf numFmtId="164" fontId="2" fillId="8" borderId="0" xfId="0" applyNumberFormat="1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164" fontId="2" fillId="9" borderId="1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164" fontId="2" fillId="9" borderId="0" xfId="0" applyNumberFormat="1" applyFont="1" applyFill="1" applyAlignment="1">
      <alignment horizontal="left" vertical="center" indent="1"/>
    </xf>
    <xf numFmtId="0" fontId="2" fillId="10" borderId="2" xfId="0" applyFont="1" applyFill="1" applyBorder="1" applyAlignment="1">
      <alignment horizontal="left" vertical="center" indent="1"/>
    </xf>
    <xf numFmtId="0" fontId="2" fillId="11" borderId="1" xfId="0" applyFont="1" applyFill="1" applyBorder="1" applyAlignment="1">
      <alignment horizontal="left" vertical="center" indent="1"/>
    </xf>
    <xf numFmtId="164" fontId="2" fillId="11" borderId="1" xfId="0" applyNumberFormat="1" applyFont="1" applyFill="1" applyBorder="1" applyAlignment="1">
      <alignment horizontal="left" vertical="center" indent="1"/>
    </xf>
    <xf numFmtId="0" fontId="2" fillId="11" borderId="3" xfId="0" applyFont="1" applyFill="1" applyBorder="1" applyAlignment="1">
      <alignment horizontal="left" vertical="center" indent="1"/>
    </xf>
    <xf numFmtId="164" fontId="2" fillId="11" borderId="3" xfId="0" applyNumberFormat="1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14" fontId="2" fillId="0" borderId="0" xfId="0" applyNumberFormat="1" applyFont="1" applyAlignment="1">
      <alignment horizontal="left" vertical="center" indent="1"/>
    </xf>
    <xf numFmtId="0" fontId="6" fillId="4" borderId="0" xfId="0" applyFont="1" applyFill="1" applyAlignment="1">
      <alignment horizontal="left" indent="1"/>
    </xf>
    <xf numFmtId="0" fontId="2" fillId="4" borderId="0" xfId="0" applyFont="1" applyFill="1"/>
    <xf numFmtId="0" fontId="6" fillId="4" borderId="0" xfId="0" applyFont="1" applyFill="1" applyAlignment="1">
      <alignment horizontal="left"/>
    </xf>
    <xf numFmtId="0" fontId="2" fillId="4" borderId="0" xfId="0" applyFont="1" applyFill="1" applyAlignment="1">
      <alignment horizontal="left" vertical="top" indent="1"/>
    </xf>
    <xf numFmtId="0" fontId="2" fillId="4" borderId="0" xfId="0" applyFont="1" applyFill="1" applyAlignment="1">
      <alignment vertical="top"/>
    </xf>
    <xf numFmtId="14" fontId="2" fillId="4" borderId="0" xfId="0" applyNumberFormat="1" applyFont="1" applyFill="1" applyAlignment="1">
      <alignment horizontal="left" vertical="top"/>
    </xf>
    <xf numFmtId="14" fontId="2" fillId="7" borderId="0" xfId="0" applyNumberFormat="1" applyFont="1" applyFill="1" applyAlignment="1">
      <alignment horizontal="left" vertical="center" indent="1"/>
    </xf>
    <xf numFmtId="165" fontId="2" fillId="7" borderId="0" xfId="1" applyNumberFormat="1" applyFont="1" applyFill="1" applyBorder="1" applyAlignment="1">
      <alignment horizontal="left" vertical="center" indent="1"/>
    </xf>
    <xf numFmtId="9" fontId="2" fillId="7" borderId="0" xfId="2" applyFont="1" applyFill="1" applyBorder="1" applyAlignment="1">
      <alignment horizontal="right" vertical="center" indent="1"/>
    </xf>
    <xf numFmtId="14" fontId="2" fillId="9" borderId="0" xfId="0" applyNumberFormat="1" applyFont="1" applyFill="1" applyAlignment="1">
      <alignment horizontal="left" vertical="center" indent="1"/>
    </xf>
    <xf numFmtId="165" fontId="2" fillId="9" borderId="0" xfId="1" applyNumberFormat="1" applyFont="1" applyFill="1" applyBorder="1" applyAlignment="1">
      <alignment horizontal="left" vertical="center" indent="1"/>
    </xf>
    <xf numFmtId="9" fontId="2" fillId="9" borderId="0" xfId="2" applyFont="1" applyFill="1" applyBorder="1" applyAlignment="1">
      <alignment horizontal="right" vertical="center" indent="1"/>
    </xf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9" fillId="0" borderId="0" xfId="4" applyFont="1" applyFill="1" applyBorder="1" applyAlignment="1">
      <alignment horizontal="left" vertical="center" indent="1"/>
    </xf>
    <xf numFmtId="165" fontId="2" fillId="0" borderId="0" xfId="0" applyNumberFormat="1" applyFont="1" applyAlignment="1">
      <alignment horizontal="left" vertical="center" indent="1"/>
    </xf>
    <xf numFmtId="0" fontId="1" fillId="4" borderId="0" xfId="0" applyFont="1" applyFill="1" applyAlignment="1">
      <alignment horizontal="left" vertical="top" indent="1"/>
    </xf>
    <xf numFmtId="1" fontId="2" fillId="4" borderId="0" xfId="0" applyNumberFormat="1" applyFont="1" applyFill="1" applyAlignment="1">
      <alignment vertical="top"/>
    </xf>
    <xf numFmtId="0" fontId="1" fillId="9" borderId="0" xfId="0" applyFont="1" applyFill="1" applyAlignment="1">
      <alignment horizontal="left" vertical="center" indent="1"/>
    </xf>
    <xf numFmtId="14" fontId="1" fillId="9" borderId="0" xfId="0" applyNumberFormat="1" applyFont="1" applyFill="1" applyAlignment="1">
      <alignment horizontal="left" vertical="center" indent="1"/>
    </xf>
    <xf numFmtId="165" fontId="1" fillId="9" borderId="0" xfId="1" applyNumberFormat="1" applyFont="1" applyFill="1" applyBorder="1" applyAlignment="1">
      <alignment horizontal="left" vertical="center" indent="1"/>
    </xf>
    <xf numFmtId="9" fontId="1" fillId="9" borderId="0" xfId="2" applyFont="1" applyFill="1" applyBorder="1" applyAlignment="1">
      <alignment horizontal="right" vertical="center" indent="1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0" fontId="8" fillId="5" borderId="0" xfId="3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 indent="1"/>
    </xf>
  </cellXfs>
  <cellStyles count="5">
    <cellStyle name="Currency" xfId="1" builtinId="4"/>
    <cellStyle name="Heading 1" xfId="4" builtinId="16" customBuiltin="1"/>
    <cellStyle name="Normal" xfId="0" builtinId="0" customBuiltin="1"/>
    <cellStyle name="Percent" xfId="2" builtinId="5"/>
    <cellStyle name="Title" xfId="3" builtinId="15" customBuiltin="1"/>
  </cellStyles>
  <dxfs count="8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/>
        <i val="0"/>
      </font>
      <fill>
        <patternFill>
          <bgColor theme="8" tint="0.59996337778862885"/>
        </patternFill>
      </fill>
    </dxf>
    <dxf>
      <border>
        <horizontal style="thin">
          <color theme="1" tint="0.499984740745262"/>
        </horizontal>
      </border>
    </dxf>
  </dxfs>
  <tableStyles count="1" defaultTableStyle="Project To Do List" defaultPivotStyle="PivotStyleLight16">
    <tableStyle name="Project To Do List" pivot="0" count="2" xr9:uid="{00000000-0011-0000-FFFF-FFFF00000000}">
      <tableStyleElement type="wholeTable" dxfId="79"/>
      <tableStyleElement type="headerRow" dxfId="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oDoListMaster" displayName="tblToDoListMaster" ref="B7:G13" headerRowDxfId="65" dataDxfId="64" totalsRowDxfId="63">
  <autoFilter ref="B7:G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00000000-0010-0000-0000-000002000000}" name="Activity" dataDxfId="62"/>
    <tableColumn id="7" xr3:uid="{00000000-0010-0000-0000-000007000000}" name="Due By" dataDxfId="61"/>
    <tableColumn id="4" xr3:uid="{00000000-0010-0000-0000-000004000000}" name="Budget" dataDxfId="60"/>
    <tableColumn id="1" xr3:uid="{00000000-0010-0000-0000-000001000000}" name="Done" dataDxfId="59" totalsRowDxfId="58"/>
    <tableColumn id="6" xr3:uid="{00000000-0010-0000-0000-000006000000}" name="Progress" dataDxfId="57" totalsRowDxfId="56"/>
    <tableColumn id="5" xr3:uid="{00000000-0010-0000-0000-000005000000}" name="Notes" dataDxfId="55" totalsRowDxfId="54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8421A-C81C-4B45-B75E-0842DB9E9AD3}" name="tblToDoList1" displayName="tblToDoList1" ref="B7:G13" headerRowDxfId="77" dataDxfId="76" totalsRowDxfId="75">
  <autoFilter ref="B7:G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A63DC3B9-6A22-694E-9B55-20657FA20412}" name="Activity" dataDxfId="74"/>
    <tableColumn id="7" xr3:uid="{50ECFBF8-FB18-4342-B0DF-9F65E2F7B060}" name="Due By" dataDxfId="73"/>
    <tableColumn id="4" xr3:uid="{EAE80878-816F-9840-ABF6-E0014A54D2CF}" name="Budget" dataDxfId="72"/>
    <tableColumn id="1" xr3:uid="{BEDEF818-E176-524B-A18C-5D1C29B4CC65}" name="Done" dataDxfId="71" totalsRowDxfId="70"/>
    <tableColumn id="6" xr3:uid="{F1ABF4EE-4308-4343-941C-DB05820CF057}" name="Progress" dataDxfId="69" totalsRowDxfId="68"/>
    <tableColumn id="5" xr3:uid="{F7B8917B-8FA2-704C-B412-E1F200CA5BD1}" name="Notes" dataDxfId="67" totalsRowDxfId="66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0E8316-4DDE-AA44-8478-4F3E3623B4FC}" name="tblToDoList2" displayName="tblToDoList2" ref="B7:G13" headerRowDxfId="53" dataDxfId="52" totalsRowDxfId="51">
  <autoFilter ref="B7:G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2B85C220-BB56-494D-8369-7C6A90E7E2B7}" name="Activity" dataDxfId="50"/>
    <tableColumn id="7" xr3:uid="{84FE95B1-41E6-FD4D-9F4D-F2218D7557E3}" name="Due By" dataDxfId="49"/>
    <tableColumn id="4" xr3:uid="{B59A8223-B424-7447-AD0A-978A5B8A5237}" name="Budget" dataDxfId="48"/>
    <tableColumn id="1" xr3:uid="{A34F6A08-5A2B-DD41-9248-5209125C2E34}" name="Done" dataDxfId="47" totalsRowDxfId="46"/>
    <tableColumn id="6" xr3:uid="{F55EFFB1-0695-F24E-AB2F-C760F21FDFAB}" name="Progress" dataDxfId="45" totalsRowDxfId="44"/>
    <tableColumn id="5" xr3:uid="{2D22C5E3-0AFC-5A47-A5DB-99FAC12D3D33}" name="Notes" dataDxfId="43" totalsRowDxfId="42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EC7AF6-2AFA-CB44-B997-1BC4338FDAB4}" name="tblToDoList3" displayName="tblToDoList3" ref="B7:G12" headerRowDxfId="41" dataDxfId="40" totalsRowDxfId="39">
  <autoFilter ref="B7:G1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562F68A3-A8FF-1C41-9B69-22D9B68B1701}" name="Activity" dataDxfId="38"/>
    <tableColumn id="7" xr3:uid="{AE055756-A02F-D244-BA72-4328DF8DE2B2}" name="Due By" dataDxfId="37"/>
    <tableColumn id="4" xr3:uid="{0CBEFCDF-EB95-0F47-A71E-FCA7B24668FE}" name="Budget" dataDxfId="36"/>
    <tableColumn id="1" xr3:uid="{D77B0504-DD5F-8F42-BA40-3ED1DA60B192}" name="Done" dataDxfId="35" totalsRowDxfId="34"/>
    <tableColumn id="6" xr3:uid="{19389274-8F95-824B-BE3E-D01F01A0BE52}" name="Progress" dataDxfId="33" totalsRowDxfId="32"/>
    <tableColumn id="5" xr3:uid="{486BA12B-5A00-3F45-8209-0EB3F2F5D18A}" name="Notes" dataDxfId="31" totalsRowDxfId="30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E28A73-77D4-7F41-B6C8-403525F6CA15}" name="tblToDoList4" displayName="tblToDoList4" ref="B7:G13" headerRowDxfId="29" dataDxfId="28" totalsRowDxfId="27">
  <autoFilter ref="B7:G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F72AE9C8-B18C-4B41-8EAE-F4DA3B1A33A3}" name="Activity" dataDxfId="26"/>
    <tableColumn id="7" xr3:uid="{96CBC4AF-783F-5047-9157-F67793F7E802}" name="Due By" dataDxfId="25"/>
    <tableColumn id="4" xr3:uid="{DFDA15AD-8EFF-5D41-BB01-544E4BB010F1}" name="Budget" dataDxfId="24"/>
    <tableColumn id="1" xr3:uid="{11752A13-4B55-A943-9E68-14C411B36444}" name="Done" dataDxfId="23" totalsRowDxfId="22"/>
    <tableColumn id="6" xr3:uid="{D40D1B39-F680-B64C-897D-069D98B6B8F9}" name="Progress" dataDxfId="21" totalsRowDxfId="20"/>
    <tableColumn id="5" xr3:uid="{CA474F05-6101-F34D-AC99-A64DBD8728D0}" name="Notes" dataDxfId="19" totalsRowDxfId="18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DA4076-E670-C54B-A217-C475BC530261}" name="tblToDoList5" displayName="tblToDoList5" ref="B7:G12" headerRowDxfId="17" dataDxfId="16" totalsRowDxfId="15">
  <autoFilter ref="B7:G1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1F1686AA-4CDB-344F-9965-89E803358B73}" name="Activity" dataDxfId="14"/>
    <tableColumn id="7" xr3:uid="{77E0744E-B62C-994B-872D-4D4776BD00A3}" name="Due By" dataDxfId="13"/>
    <tableColumn id="4" xr3:uid="{33B4313F-50A9-DB44-9EB9-66106785958E}" name="Budget" dataDxfId="12"/>
    <tableColumn id="1" xr3:uid="{80C63381-6108-9C4A-ABF7-01676F23012C}" name="Done" dataDxfId="11" totalsRowDxfId="10"/>
    <tableColumn id="6" xr3:uid="{70B6B116-CD78-B84E-86CF-59E863E47F93}" name="Progress" dataDxfId="9" totalsRowDxfId="8"/>
    <tableColumn id="5" xr3:uid="{7E18E563-7AD4-A945-94DD-691675E0DAEC}" name="Notes" dataDxfId="7" totalsRowDxfId="6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heme/theme1.xml><?xml version="1.0" encoding="utf-8"?>
<a:theme xmlns:a="http://schemas.openxmlformats.org/drawingml/2006/main" name="Office Theme">
  <a:themeElements>
    <a:clrScheme name="Project To Do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DA3B8"/>
      </a:accent1>
      <a:accent2>
        <a:srgbClr val="FFCC00"/>
      </a:accent2>
      <a:accent3>
        <a:srgbClr val="E68102"/>
      </a:accent3>
      <a:accent4>
        <a:srgbClr val="27C760"/>
      </a:accent4>
      <a:accent5>
        <a:srgbClr val="E5629E"/>
      </a:accent5>
      <a:accent6>
        <a:srgbClr val="9D7EBC"/>
      </a:accent6>
      <a:hlink>
        <a:srgbClr val="0072FF"/>
      </a:hlink>
      <a:folHlink>
        <a:srgbClr val="9D7EBC"/>
      </a:folHlink>
    </a:clrScheme>
    <a:fontScheme name="Custom 55">
      <a:majorFont>
        <a:latin typeface="Postera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autoPageBreaks="0" fitToPage="1"/>
  </sheetPr>
  <dimension ref="A1:H97"/>
  <sheetViews>
    <sheetView showGridLines="0" zoomScaleNormal="100" workbookViewId="0">
      <selection activeCell="B6" sqref="B6"/>
    </sheetView>
  </sheetViews>
  <sheetFormatPr baseColWidth="10" defaultColWidth="9.19921875" defaultRowHeight="18.75" customHeight="1" x14ac:dyDescent="0.15"/>
  <cols>
    <col min="1" max="1" width="6" style="39" customWidth="1"/>
    <col min="2" max="2" width="28.19921875" style="24" customWidth="1"/>
    <col min="3" max="3" width="20" style="26" customWidth="1"/>
    <col min="4" max="4" width="22" style="43" customWidth="1"/>
    <col min="5" max="5" width="22" style="25" customWidth="1"/>
    <col min="6" max="6" width="20" style="25" customWidth="1"/>
    <col min="7" max="7" width="38" style="24" customWidth="1"/>
    <col min="8" max="8" width="6" style="39" customWidth="1"/>
    <col min="9" max="16384" width="9.19921875" style="39"/>
  </cols>
  <sheetData>
    <row r="1" spans="1:8" ht="30" customHeight="1" x14ac:dyDescent="0.15">
      <c r="B1" s="39"/>
      <c r="C1" s="39"/>
      <c r="D1" s="39"/>
      <c r="E1" s="39"/>
      <c r="F1" s="39"/>
      <c r="G1" s="39"/>
      <c r="H1" s="39" t="s">
        <v>16</v>
      </c>
    </row>
    <row r="2" spans="1:8" s="40" customFormat="1" ht="100" customHeight="1" x14ac:dyDescent="0.55000000000000004">
      <c r="B2" s="55" t="s">
        <v>17</v>
      </c>
      <c r="C2" s="55"/>
      <c r="D2" s="55"/>
      <c r="E2" s="55"/>
      <c r="F2" s="55"/>
      <c r="G2" s="55"/>
    </row>
    <row r="3" spans="1:8" ht="26" customHeight="1" x14ac:dyDescent="0.15">
      <c r="B3" s="39"/>
      <c r="C3" s="39"/>
      <c r="D3" s="39"/>
      <c r="E3" s="39"/>
      <c r="F3" s="39"/>
      <c r="G3" s="39"/>
    </row>
    <row r="4" spans="1:8" ht="30" customHeight="1" x14ac:dyDescent="0.15">
      <c r="B4" s="50" t="s">
        <v>69</v>
      </c>
      <c r="C4" s="56" t="s">
        <v>70</v>
      </c>
      <c r="D4" s="56"/>
      <c r="E4" s="50" t="s">
        <v>71</v>
      </c>
      <c r="F4" s="50" t="s">
        <v>72</v>
      </c>
      <c r="G4" s="50" t="s">
        <v>10</v>
      </c>
    </row>
    <row r="5" spans="1:8" s="41" customFormat="1" ht="30" customHeight="1" x14ac:dyDescent="0.15">
      <c r="B5" s="52" t="s">
        <v>30</v>
      </c>
      <c r="C5" s="57">
        <f>SUM(tblToDoListMaster[Progress]) / COUNT(tblToDoListMaster[Progress])</f>
        <v>0.21944444444444444</v>
      </c>
      <c r="D5" s="57"/>
      <c r="E5" s="53">
        <v>46214</v>
      </c>
      <c r="F5" s="54" t="str">
        <f ca="1">E5-TODAY() &amp; " days left"</f>
        <v>22 days left</v>
      </c>
      <c r="G5" s="51" t="s">
        <v>38</v>
      </c>
    </row>
    <row r="6" spans="1:8" s="41" customFormat="1" ht="61" customHeight="1" x14ac:dyDescent="0.15">
      <c r="B6" s="42" t="s">
        <v>32</v>
      </c>
      <c r="C6" s="39"/>
      <c r="D6" s="39"/>
      <c r="E6" s="39"/>
      <c r="F6" s="39"/>
      <c r="G6" s="39"/>
    </row>
    <row r="7" spans="1:8" ht="30" customHeight="1" x14ac:dyDescent="0.15">
      <c r="A7" s="6"/>
      <c r="B7" s="24" t="s">
        <v>0</v>
      </c>
      <c r="C7" s="24" t="s">
        <v>9</v>
      </c>
      <c r="D7" s="24" t="s">
        <v>2</v>
      </c>
      <c r="E7" s="25" t="s">
        <v>28</v>
      </c>
      <c r="F7" s="25" t="s">
        <v>4</v>
      </c>
      <c r="G7" s="24" t="s">
        <v>1</v>
      </c>
      <c r="H7" s="39" t="s">
        <v>16</v>
      </c>
    </row>
    <row r="8" spans="1:8" ht="30" customHeight="1" x14ac:dyDescent="0.15">
      <c r="A8" s="6"/>
      <c r="B8" s="12" t="s">
        <v>3</v>
      </c>
      <c r="C8" s="33">
        <v>46190</v>
      </c>
      <c r="D8" s="34">
        <v>0</v>
      </c>
      <c r="E8" s="35" t="s">
        <v>74</v>
      </c>
      <c r="F8" s="35">
        <v>1</v>
      </c>
      <c r="G8" s="12"/>
    </row>
    <row r="9" spans="1:8" ht="30" customHeight="1" x14ac:dyDescent="0.15">
      <c r="A9" s="6"/>
      <c r="B9" s="46" t="s">
        <v>33</v>
      </c>
      <c r="C9" s="36">
        <v>46204</v>
      </c>
      <c r="D9" s="37">
        <v>0</v>
      </c>
      <c r="E9" s="38"/>
      <c r="F9" s="38">
        <f>SUM(tblToDoList1[Progress]) / COUNT(tblToDoList1[Progress])</f>
        <v>0.31666666666666665</v>
      </c>
      <c r="G9" s="17"/>
    </row>
    <row r="10" spans="1:8" ht="30" customHeight="1" x14ac:dyDescent="0.15">
      <c r="A10" s="6"/>
      <c r="B10" s="46" t="s">
        <v>34</v>
      </c>
      <c r="C10" s="36">
        <v>46210</v>
      </c>
      <c r="D10" s="37">
        <v>0</v>
      </c>
      <c r="E10" s="38"/>
      <c r="F10" s="38">
        <f>SUM(tblToDoList2[Progress]) / COUNT(tblToDoList2[Progress])</f>
        <v>0</v>
      </c>
      <c r="G10" s="17"/>
    </row>
    <row r="11" spans="1:8" ht="30" customHeight="1" x14ac:dyDescent="0.15">
      <c r="A11" s="6"/>
      <c r="B11" s="46" t="s">
        <v>35</v>
      </c>
      <c r="C11" s="36">
        <v>46214</v>
      </c>
      <c r="D11" s="37">
        <v>0</v>
      </c>
      <c r="E11" s="38"/>
      <c r="F11" s="38">
        <f>SUM(tblToDoList3[Progress]) / COUNT(tblToDoList3[Progress])</f>
        <v>0</v>
      </c>
      <c r="G11" s="17"/>
    </row>
    <row r="12" spans="1:8" ht="30" customHeight="1" x14ac:dyDescent="0.15">
      <c r="A12" s="6"/>
      <c r="B12" s="46" t="s">
        <v>36</v>
      </c>
      <c r="C12" s="36">
        <v>46217</v>
      </c>
      <c r="D12" s="37">
        <v>0</v>
      </c>
      <c r="E12" s="38"/>
      <c r="F12" s="38">
        <f>SUM(tblToDoList4[Progress]) / COUNT(tblToDoList4[Progress])</f>
        <v>0</v>
      </c>
      <c r="G12" s="17"/>
    </row>
    <row r="13" spans="1:8" ht="30" customHeight="1" x14ac:dyDescent="0.15">
      <c r="A13" s="6"/>
      <c r="B13" s="46" t="s">
        <v>37</v>
      </c>
      <c r="C13" s="36">
        <v>46228</v>
      </c>
      <c r="D13" s="37">
        <v>0</v>
      </c>
      <c r="E13" s="38"/>
      <c r="F13" s="38">
        <f>SUM(tblToDoList5[Progress]) / COUNT(tblToDoList5[Progress])</f>
        <v>0</v>
      </c>
      <c r="G13" s="17"/>
    </row>
    <row r="14" spans="1:8" ht="30" customHeight="1" x14ac:dyDescent="0.15"/>
    <row r="15" spans="1:8" ht="30" customHeight="1" x14ac:dyDescent="0.15"/>
    <row r="16" spans="1:8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  <row r="97" ht="30" customHeight="1" x14ac:dyDescent="0.15"/>
  </sheetData>
  <mergeCells count="3">
    <mergeCell ref="B2:G2"/>
    <mergeCell ref="C4:D4"/>
    <mergeCell ref="C5:D5"/>
  </mergeCells>
  <conditionalFormatting sqref="B8:G13">
    <cfRule type="expression" dxfId="5" priority="2">
      <formula>AND($C8&gt;=valHStart, $C8&lt;=valHEnd)</formula>
    </cfRule>
  </conditionalFormatting>
  <dataValidations count="13">
    <dataValidation type="list" allowBlank="1" showInputMessage="1" prompt="Select which period to automatically highlight using the dropdown in this cell._x000a__x000a_Dropdown options are auto generated using the Settings &amp; Calculations Tab." sqref="G5" xr:uid="{00000000-0002-0000-0000-000000000000}">
      <formula1>lstToDoHighlights</formula1>
    </dataValidation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EEF73721-2F2D-4F08-9603-1D15DF71F893}"/>
    <dataValidation allowBlank="1" showInputMessage="1" showErrorMessage="1" prompt="Title of the worksheet is in this cell" sqref="B2:G2" xr:uid="{7754D0E4-1946-486F-B610-8E7B3FDE16FB}"/>
    <dataValidation allowBlank="1" showInputMessage="1" showErrorMessage="1" prompt="Enter name in this cell" sqref="B5" xr:uid="{AED8AA14-3825-4B4B-96E0-45C4A4552251}"/>
    <dataValidation allowBlank="1" showInputMessage="1" showErrorMessage="1" prompt="Enter project deadline in this cell" sqref="E5" xr:uid="{DADDE291-E87A-4EC2-BF3F-B17A579D228F}"/>
    <dataValidation allowBlank="1" showInputMessage="1" showErrorMessage="1" prompt="Enter project name in this cell" sqref="B6" xr:uid="{AD68667F-44E1-475E-958D-F9E89DCD65C6}"/>
    <dataValidation allowBlank="1" showInputMessage="1" showErrorMessage="1" prompt="Enter activity name in this column under this heading" sqref="B7" xr:uid="{E36C98EB-DAB8-4911-B007-D406DD477ADA}"/>
    <dataValidation allowBlank="1" showInputMessage="1" showErrorMessage="1" prompt="Enter due date in this column under this heading" sqref="C7" xr:uid="{CE26D4E0-2F21-4AFA-88A2-485369645B4B}"/>
    <dataValidation allowBlank="1" showInputMessage="1" showErrorMessage="1" prompt="Enter budget in this column under this heading" sqref="D7" xr:uid="{8B7CBACD-A3AA-42BB-AB9D-794B2A4EE2B9}"/>
    <dataValidation allowBlank="1" showInputMessage="1" showErrorMessage="1" prompt="Enter progress percentage in this column under this heading" sqref="F7" xr:uid="{E4F17B65-CE2D-4877-8C15-8CEDF9F8BB69}"/>
    <dataValidation allowBlank="1" showInputMessage="1" showErrorMessage="1" prompt="Enter notes in this column under this heading" sqref="G7" xr:uid="{2979BFC6-287A-421D-8D8A-913AF66144C0}"/>
    <dataValidation allowBlank="1" showInputMessage="1" showErrorMessage="1" prompt="Enter completed status of activity in this column under this heading using the dropdown." sqref="E7" xr:uid="{8D82205A-6ECD-483C-8ADC-3EA818EAB0C0}"/>
    <dataValidation type="list" allowBlank="1" showInputMessage="1" showErrorMessage="1" sqref="E8:E13" xr:uid="{2755D52C-6EE9-4103-B46A-50B41A329A5A}">
      <formula1>"YES"</formula1>
    </dataValidation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C900-1D88-FD41-A7D5-7B68FC7488B8}">
  <sheetPr>
    <tabColor theme="9" tint="0.79998168889431442"/>
    <pageSetUpPr autoPageBreaks="0" fitToPage="1"/>
  </sheetPr>
  <dimension ref="A1:H97"/>
  <sheetViews>
    <sheetView showGridLines="0" tabSelected="1" zoomScaleNormal="100" workbookViewId="0">
      <selection activeCell="F9" sqref="F9"/>
    </sheetView>
  </sheetViews>
  <sheetFormatPr baseColWidth="10" defaultColWidth="9.19921875" defaultRowHeight="18.75" customHeight="1" x14ac:dyDescent="0.15"/>
  <cols>
    <col min="1" max="1" width="6" style="39" customWidth="1"/>
    <col min="2" max="2" width="47" style="24" bestFit="1" customWidth="1"/>
    <col min="3" max="3" width="20" style="26" customWidth="1"/>
    <col min="4" max="4" width="22" style="43" customWidth="1"/>
    <col min="5" max="5" width="22" style="25" customWidth="1"/>
    <col min="6" max="6" width="20" style="25" customWidth="1"/>
    <col min="7" max="7" width="38" style="24" customWidth="1"/>
    <col min="8" max="8" width="6" style="39" customWidth="1"/>
    <col min="9" max="16384" width="9.19921875" style="39"/>
  </cols>
  <sheetData>
    <row r="1" spans="1:8" ht="30" customHeight="1" x14ac:dyDescent="0.15">
      <c r="B1" s="39"/>
      <c r="C1" s="39"/>
      <c r="D1" s="39"/>
      <c r="E1" s="39"/>
      <c r="F1" s="39"/>
      <c r="G1" s="39"/>
      <c r="H1" s="39" t="s">
        <v>16</v>
      </c>
    </row>
    <row r="2" spans="1:8" s="40" customFormat="1" ht="100" customHeight="1" x14ac:dyDescent="0.55000000000000004">
      <c r="B2" s="55" t="s">
        <v>17</v>
      </c>
      <c r="C2" s="55"/>
      <c r="D2" s="55"/>
      <c r="E2" s="55"/>
      <c r="F2" s="55"/>
      <c r="G2" s="55"/>
    </row>
    <row r="3" spans="1:8" ht="26" customHeight="1" x14ac:dyDescent="0.15">
      <c r="B3" s="39"/>
      <c r="C3" s="39"/>
      <c r="D3" s="39"/>
      <c r="E3" s="39"/>
      <c r="F3" s="39"/>
      <c r="G3" s="39"/>
    </row>
    <row r="4" spans="1:8" ht="30" customHeight="1" x14ac:dyDescent="0.15">
      <c r="B4" s="27" t="s">
        <v>7</v>
      </c>
      <c r="C4" s="28"/>
      <c r="D4" s="28"/>
      <c r="E4" s="29" t="s">
        <v>8</v>
      </c>
      <c r="F4" s="29" t="s">
        <v>31</v>
      </c>
      <c r="G4" s="27" t="s">
        <v>10</v>
      </c>
    </row>
    <row r="5" spans="1:8" s="41" customFormat="1" ht="30" customHeight="1" x14ac:dyDescent="0.15">
      <c r="B5" s="44" t="s">
        <v>30</v>
      </c>
      <c r="C5" s="31"/>
      <c r="D5" s="31"/>
      <c r="E5" s="32">
        <f>'To Do List'!C9</f>
        <v>46204</v>
      </c>
      <c r="F5" s="45" t="str">
        <f ca="1">E5-TODAY() &amp; " days left"</f>
        <v>12 days left</v>
      </c>
      <c r="G5" s="30" t="s">
        <v>68</v>
      </c>
    </row>
    <row r="6" spans="1:8" s="41" customFormat="1" ht="61" customHeight="1" x14ac:dyDescent="0.15">
      <c r="B6" s="42" t="str">
        <f>'To Do List'!B9</f>
        <v>Manual Assisted Parser</v>
      </c>
      <c r="C6" s="39"/>
      <c r="D6" s="39"/>
      <c r="E6" s="39"/>
      <c r="F6" s="39"/>
      <c r="G6" s="39"/>
    </row>
    <row r="7" spans="1:8" ht="30" customHeight="1" x14ac:dyDescent="0.15">
      <c r="A7" s="6"/>
      <c r="B7" s="24" t="s">
        <v>0</v>
      </c>
      <c r="C7" s="24" t="s">
        <v>9</v>
      </c>
      <c r="D7" s="24" t="s">
        <v>2</v>
      </c>
      <c r="E7" s="25" t="s">
        <v>28</v>
      </c>
      <c r="F7" s="25" t="s">
        <v>4</v>
      </c>
      <c r="G7" s="24" t="s">
        <v>1</v>
      </c>
      <c r="H7" s="39" t="s">
        <v>16</v>
      </c>
    </row>
    <row r="8" spans="1:8" ht="30" customHeight="1" x14ac:dyDescent="0.15">
      <c r="A8" s="6"/>
      <c r="B8" s="46" t="s">
        <v>39</v>
      </c>
      <c r="C8" s="36">
        <v>46193</v>
      </c>
      <c r="D8" s="37">
        <v>0</v>
      </c>
      <c r="E8" s="38"/>
      <c r="F8" s="38">
        <v>0.95</v>
      </c>
      <c r="G8" s="46" t="s">
        <v>73</v>
      </c>
    </row>
    <row r="9" spans="1:8" ht="30" customHeight="1" x14ac:dyDescent="0.15">
      <c r="A9" s="6"/>
      <c r="B9" s="46" t="s">
        <v>40</v>
      </c>
      <c r="C9" s="36">
        <v>46191</v>
      </c>
      <c r="D9" s="37">
        <v>0</v>
      </c>
      <c r="E9" s="38"/>
      <c r="F9" s="38">
        <v>0.95</v>
      </c>
      <c r="G9" s="17"/>
    </row>
    <row r="10" spans="1:8" ht="30" customHeight="1" x14ac:dyDescent="0.15">
      <c r="A10" s="6"/>
      <c r="B10" s="46" t="s">
        <v>41</v>
      </c>
      <c r="C10" s="36">
        <v>46198</v>
      </c>
      <c r="D10" s="37">
        <v>0</v>
      </c>
      <c r="E10" s="38"/>
      <c r="F10" s="38">
        <v>0</v>
      </c>
      <c r="G10" s="17"/>
    </row>
    <row r="11" spans="1:8" ht="30" customHeight="1" x14ac:dyDescent="0.15">
      <c r="A11" s="6"/>
      <c r="B11" s="46" t="s">
        <v>42</v>
      </c>
      <c r="C11" s="36">
        <v>46199</v>
      </c>
      <c r="D11" s="37">
        <v>0</v>
      </c>
      <c r="E11" s="38"/>
      <c r="F11" s="38">
        <v>0</v>
      </c>
      <c r="G11" s="17"/>
    </row>
    <row r="12" spans="1:8" ht="30" customHeight="1" x14ac:dyDescent="0.15">
      <c r="A12" s="6"/>
      <c r="B12" s="46" t="s">
        <v>43</v>
      </c>
      <c r="C12" s="36">
        <v>46203</v>
      </c>
      <c r="D12" s="37">
        <v>0</v>
      </c>
      <c r="E12" s="38"/>
      <c r="F12" s="38">
        <v>0</v>
      </c>
      <c r="G12" s="46"/>
    </row>
    <row r="13" spans="1:8" ht="30" customHeight="1" x14ac:dyDescent="0.15">
      <c r="A13" s="6"/>
      <c r="B13" s="46" t="s">
        <v>44</v>
      </c>
      <c r="C13" s="36">
        <v>46204</v>
      </c>
      <c r="D13" s="37">
        <v>0</v>
      </c>
      <c r="E13" s="38"/>
      <c r="F13" s="38">
        <v>0</v>
      </c>
      <c r="G13" s="17"/>
    </row>
    <row r="14" spans="1:8" ht="30" customHeight="1" x14ac:dyDescent="0.15"/>
    <row r="15" spans="1:8" ht="30" customHeight="1" x14ac:dyDescent="0.15"/>
    <row r="16" spans="1:8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  <row r="97" ht="30" customHeight="1" x14ac:dyDescent="0.15"/>
  </sheetData>
  <mergeCells count="1">
    <mergeCell ref="B2:G2"/>
  </mergeCells>
  <conditionalFormatting sqref="B8:G13">
    <cfRule type="expression" dxfId="4" priority="1">
      <formula>AND($C8&gt;=valHStart, $C8&lt;=valHEnd)</formula>
    </cfRule>
  </conditionalFormatting>
  <dataValidations count="13">
    <dataValidation type="list" allowBlank="1" showInputMessage="1" showErrorMessage="1" sqref="E8:E13" xr:uid="{2406038A-8331-DB4E-AE04-1C1131053609}">
      <formula1>"YES"</formula1>
    </dataValidation>
    <dataValidation allowBlank="1" showInputMessage="1" showErrorMessage="1" prompt="Enter completed status of activity in this column under this heading using the dropdown." sqref="E7" xr:uid="{F20F8D13-6182-AA40-AB02-867741EB7FBE}"/>
    <dataValidation allowBlank="1" showInputMessage="1" showErrorMessage="1" prompt="Enter notes in this column under this heading" sqref="G7" xr:uid="{F8D680D1-3A5B-1B43-A4D9-9D57FA8FD378}"/>
    <dataValidation allowBlank="1" showInputMessage="1" showErrorMessage="1" prompt="Enter progress percentage in this column under this heading" sqref="F7" xr:uid="{27234208-326C-DD42-A46D-D55B0A1585F9}"/>
    <dataValidation allowBlank="1" showInputMessage="1" showErrorMessage="1" prompt="Enter budget in this column under this heading" sqref="D7" xr:uid="{6A5F72D8-C52A-E44E-9174-E46AB1FADEA9}"/>
    <dataValidation allowBlank="1" showInputMessage="1" showErrorMessage="1" prompt="Enter due date in this column under this heading" sqref="C7" xr:uid="{BD1EC6F6-22D9-9343-A62F-81E586234CE2}"/>
    <dataValidation allowBlank="1" showInputMessage="1" showErrorMessage="1" prompt="Enter activity name in this column under this heading" sqref="B7" xr:uid="{BDEFDD19-B46A-CE4B-85B0-394BEE7B404A}"/>
    <dataValidation allowBlank="1" showInputMessage="1" showErrorMessage="1" prompt="Enter project name in this cell" sqref="B6" xr:uid="{80209A13-450B-0F42-BEDE-DA05BC007AF7}"/>
    <dataValidation allowBlank="1" showInputMessage="1" showErrorMessage="1" prompt="Enter project deadline in this cell" sqref="E5" xr:uid="{0C940C2A-48FB-5B45-955D-707E60E840D8}"/>
    <dataValidation allowBlank="1" showInputMessage="1" showErrorMessage="1" prompt="Enter name in this cell" sqref="B5" xr:uid="{95FEF864-74D0-8B40-8624-ED8B7DB9F1F3}"/>
    <dataValidation allowBlank="1" showInputMessage="1" showErrorMessage="1" prompt="Title of the worksheet is in this cell" sqref="B2:G2" xr:uid="{87937E84-C3F1-C448-AA2A-F0A2DCB8F907}"/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F0B4B7FA-6C6B-8C46-B7CE-BEAB0843BAD5}"/>
    <dataValidation type="list" allowBlank="1" showInputMessage="1" prompt="Select which period to automatically highlight using the dropdown in this cell._x000a__x000a_Dropdown options are auto generated using the Settings &amp; Calculations Tab." sqref="G5" xr:uid="{9869CD4B-7B0E-FF43-AAA5-32B8BD3AD4FA}">
      <formula1>lstToDoHighlights</formula1>
    </dataValidation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A0F3-F8AA-2942-B4A3-F478F0637505}">
  <sheetPr>
    <tabColor theme="9" tint="0.79998168889431442"/>
    <pageSetUpPr autoPageBreaks="0" fitToPage="1"/>
  </sheetPr>
  <dimension ref="A1:H97"/>
  <sheetViews>
    <sheetView showGridLines="0" zoomScaleNormal="100" workbookViewId="0">
      <selection activeCell="F7" sqref="F7"/>
    </sheetView>
  </sheetViews>
  <sheetFormatPr baseColWidth="10" defaultColWidth="9.19921875" defaultRowHeight="18.75" customHeight="1" x14ac:dyDescent="0.15"/>
  <cols>
    <col min="1" max="1" width="6" style="39" customWidth="1"/>
    <col min="2" max="2" width="47" style="24" bestFit="1" customWidth="1"/>
    <col min="3" max="3" width="20" style="26" customWidth="1"/>
    <col min="4" max="4" width="22" style="43" customWidth="1"/>
    <col min="5" max="5" width="22" style="25" customWidth="1"/>
    <col min="6" max="6" width="20" style="25" customWidth="1"/>
    <col min="7" max="7" width="38" style="24" customWidth="1"/>
    <col min="8" max="8" width="6" style="39" customWidth="1"/>
    <col min="9" max="16384" width="9.19921875" style="39"/>
  </cols>
  <sheetData>
    <row r="1" spans="1:8" ht="30" customHeight="1" x14ac:dyDescent="0.15">
      <c r="B1" s="39"/>
      <c r="C1" s="39"/>
      <c r="D1" s="39"/>
      <c r="E1" s="39"/>
      <c r="F1" s="39"/>
      <c r="G1" s="39"/>
      <c r="H1" s="39" t="s">
        <v>16</v>
      </c>
    </row>
    <row r="2" spans="1:8" s="40" customFormat="1" ht="100" customHeight="1" x14ac:dyDescent="0.55000000000000004">
      <c r="B2" s="55" t="s">
        <v>17</v>
      </c>
      <c r="C2" s="55"/>
      <c r="D2" s="55"/>
      <c r="E2" s="55"/>
      <c r="F2" s="55"/>
      <c r="G2" s="55"/>
    </row>
    <row r="3" spans="1:8" ht="26" customHeight="1" x14ac:dyDescent="0.15">
      <c r="B3" s="39"/>
      <c r="C3" s="39"/>
      <c r="D3" s="39"/>
      <c r="E3" s="39"/>
      <c r="F3" s="39"/>
      <c r="G3" s="39"/>
    </row>
    <row r="4" spans="1:8" ht="30" customHeight="1" x14ac:dyDescent="0.15">
      <c r="B4" s="27" t="s">
        <v>7</v>
      </c>
      <c r="C4" s="28"/>
      <c r="D4" s="28"/>
      <c r="E4" s="29" t="s">
        <v>8</v>
      </c>
      <c r="F4" s="29" t="s">
        <v>31</v>
      </c>
      <c r="G4" s="27" t="s">
        <v>10</v>
      </c>
    </row>
    <row r="5" spans="1:8" s="41" customFormat="1" ht="30" customHeight="1" x14ac:dyDescent="0.15">
      <c r="B5" s="44" t="s">
        <v>30</v>
      </c>
      <c r="C5" s="31"/>
      <c r="D5" s="31"/>
      <c r="E5" s="32">
        <f>'To Do List'!C10</f>
        <v>46210</v>
      </c>
      <c r="F5" s="45" t="str">
        <f ca="1">E5-TODAY() &amp; " days left"</f>
        <v>18 days left</v>
      </c>
      <c r="G5" s="30" t="s">
        <v>38</v>
      </c>
    </row>
    <row r="6" spans="1:8" s="41" customFormat="1" ht="61" customHeight="1" x14ac:dyDescent="0.15">
      <c r="B6" s="42" t="str">
        <f>'To Do List'!B10</f>
        <v>Dispatch Automation</v>
      </c>
      <c r="C6" s="39"/>
      <c r="D6" s="39"/>
      <c r="E6" s="39"/>
      <c r="F6" s="39"/>
      <c r="G6" s="39"/>
    </row>
    <row r="7" spans="1:8" ht="30" customHeight="1" x14ac:dyDescent="0.15">
      <c r="A7" s="6"/>
      <c r="B7" s="24" t="s">
        <v>0</v>
      </c>
      <c r="C7" s="24" t="s">
        <v>9</v>
      </c>
      <c r="D7" s="24" t="s">
        <v>2</v>
      </c>
      <c r="E7" s="25" t="s">
        <v>28</v>
      </c>
      <c r="F7" s="25" t="s">
        <v>4</v>
      </c>
      <c r="G7" s="24" t="s">
        <v>1</v>
      </c>
      <c r="H7" s="39" t="s">
        <v>16</v>
      </c>
    </row>
    <row r="8" spans="1:8" ht="30" customHeight="1" x14ac:dyDescent="0.15">
      <c r="A8" s="6"/>
      <c r="B8" s="46" t="s">
        <v>45</v>
      </c>
      <c r="C8" s="36">
        <v>46207</v>
      </c>
      <c r="D8" s="37">
        <v>0</v>
      </c>
      <c r="E8" s="38"/>
      <c r="F8" s="38">
        <v>0</v>
      </c>
      <c r="G8" s="17"/>
    </row>
    <row r="9" spans="1:8" ht="30" customHeight="1" x14ac:dyDescent="0.15">
      <c r="A9" s="6"/>
      <c r="B9" s="46" t="s">
        <v>46</v>
      </c>
      <c r="C9" s="36">
        <v>46207</v>
      </c>
      <c r="D9" s="37">
        <v>0</v>
      </c>
      <c r="E9" s="38"/>
      <c r="F9" s="38">
        <v>0</v>
      </c>
      <c r="G9" s="17"/>
    </row>
    <row r="10" spans="1:8" ht="30" customHeight="1" x14ac:dyDescent="0.15">
      <c r="A10" s="6"/>
      <c r="B10" s="46" t="s">
        <v>47</v>
      </c>
      <c r="C10" s="36">
        <v>46205</v>
      </c>
      <c r="D10" s="37">
        <v>0</v>
      </c>
      <c r="E10" s="38"/>
      <c r="F10" s="38">
        <v>0</v>
      </c>
      <c r="G10" s="17"/>
    </row>
    <row r="11" spans="1:8" ht="30" customHeight="1" x14ac:dyDescent="0.15">
      <c r="A11" s="6"/>
      <c r="B11" s="46" t="s">
        <v>48</v>
      </c>
      <c r="C11" s="36">
        <v>46204</v>
      </c>
      <c r="D11" s="37">
        <v>0</v>
      </c>
      <c r="E11" s="38"/>
      <c r="F11" s="38">
        <v>0</v>
      </c>
      <c r="G11" s="17"/>
    </row>
    <row r="12" spans="1:8" ht="30" customHeight="1" x14ac:dyDescent="0.15">
      <c r="A12" s="6"/>
      <c r="B12" s="46" t="s">
        <v>49</v>
      </c>
      <c r="C12" s="36">
        <v>46208</v>
      </c>
      <c r="D12" s="37">
        <v>0</v>
      </c>
      <c r="E12" s="38"/>
      <c r="F12" s="38">
        <v>0</v>
      </c>
      <c r="G12" s="46"/>
    </row>
    <row r="13" spans="1:8" ht="30" customHeight="1" x14ac:dyDescent="0.15">
      <c r="A13" s="6"/>
      <c r="B13" s="46" t="s">
        <v>50</v>
      </c>
      <c r="C13" s="36">
        <v>46210</v>
      </c>
      <c r="D13" s="37">
        <v>0</v>
      </c>
      <c r="E13" s="38"/>
      <c r="F13" s="38">
        <v>0</v>
      </c>
      <c r="G13" s="17"/>
    </row>
    <row r="14" spans="1:8" ht="30" customHeight="1" x14ac:dyDescent="0.15"/>
    <row r="15" spans="1:8" ht="30" customHeight="1" x14ac:dyDescent="0.15"/>
    <row r="16" spans="1:8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  <row r="97" ht="30" customHeight="1" x14ac:dyDescent="0.15"/>
  </sheetData>
  <mergeCells count="1">
    <mergeCell ref="B2:G2"/>
  </mergeCells>
  <conditionalFormatting sqref="B8:G13">
    <cfRule type="expression" dxfId="3" priority="1">
      <formula>AND($C8&gt;=valHStart, $C8&lt;=valHEnd)</formula>
    </cfRule>
  </conditionalFormatting>
  <dataValidations count="13">
    <dataValidation type="list" allowBlank="1" showInputMessage="1" prompt="Select which period to automatically highlight using the dropdown in this cell._x000a__x000a_Dropdown options are auto generated using the Settings &amp; Calculations Tab." sqref="G5" xr:uid="{59FEDC09-D43C-684E-AADC-2963385349A0}">
      <formula1>lstToDoHighlights</formula1>
    </dataValidation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61C7904B-0F5E-6A4F-97A2-1A0F4EF748CD}"/>
    <dataValidation allowBlank="1" showInputMessage="1" showErrorMessage="1" prompt="Title of the worksheet is in this cell" sqref="B2:G2" xr:uid="{3E22D6A2-608E-E343-A88F-12E99C5B106F}"/>
    <dataValidation allowBlank="1" showInputMessage="1" showErrorMessage="1" prompt="Enter name in this cell" sqref="B5" xr:uid="{668F4968-654A-174A-8DCC-4DDA9393B0B4}"/>
    <dataValidation allowBlank="1" showInputMessage="1" showErrorMessage="1" prompt="Enter project deadline in this cell" sqref="E5" xr:uid="{5F552D80-D072-D74D-9D0E-AC75A52158E2}"/>
    <dataValidation allowBlank="1" showInputMessage="1" showErrorMessage="1" prompt="Enter project name in this cell" sqref="B6" xr:uid="{DEA0F8D4-7D8D-2A4E-A1FF-94CCAF75CCAA}"/>
    <dataValidation allowBlank="1" showInputMessage="1" showErrorMessage="1" prompt="Enter activity name in this column under this heading" sqref="B7" xr:uid="{91433D1C-EDF9-8944-A642-7FF826683A4B}"/>
    <dataValidation allowBlank="1" showInputMessage="1" showErrorMessage="1" prompt="Enter due date in this column under this heading" sqref="C7" xr:uid="{A8FCBA53-116C-EF45-B696-351FD6174E6C}"/>
    <dataValidation allowBlank="1" showInputMessage="1" showErrorMessage="1" prompt="Enter budget in this column under this heading" sqref="D7" xr:uid="{ED451814-3441-1B48-A363-F1A0A2C051BE}"/>
    <dataValidation allowBlank="1" showInputMessage="1" showErrorMessage="1" prompt="Enter progress percentage in this column under this heading" sqref="F7" xr:uid="{99AE3FF5-974E-DF4B-832A-22D67FD18B0A}"/>
    <dataValidation allowBlank="1" showInputMessage="1" showErrorMessage="1" prompt="Enter notes in this column under this heading" sqref="G7" xr:uid="{8A04FA1A-9D2C-7540-9360-C7B2CDA68032}"/>
    <dataValidation allowBlank="1" showInputMessage="1" showErrorMessage="1" prompt="Enter completed status of activity in this column under this heading using the dropdown." sqref="E7" xr:uid="{092413BB-3794-E54E-AE85-78BA398BFF31}"/>
    <dataValidation type="list" allowBlank="1" showInputMessage="1" showErrorMessage="1" sqref="E8:E13" xr:uid="{11E1BA79-0D23-6445-AF12-A77983DCC06D}">
      <formula1>"YES"</formula1>
    </dataValidation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355C-06BB-F840-8067-BAA09477EEB6}">
  <sheetPr>
    <tabColor theme="9" tint="0.79998168889431442"/>
    <pageSetUpPr autoPageBreaks="0" fitToPage="1"/>
  </sheetPr>
  <dimension ref="A1:H96"/>
  <sheetViews>
    <sheetView showGridLines="0" zoomScaleNormal="100" workbookViewId="0">
      <selection activeCell="F7" sqref="F7"/>
    </sheetView>
  </sheetViews>
  <sheetFormatPr baseColWidth="10" defaultColWidth="9.19921875" defaultRowHeight="18.75" customHeight="1" x14ac:dyDescent="0.15"/>
  <cols>
    <col min="1" max="1" width="6" style="39" customWidth="1"/>
    <col min="2" max="2" width="49.796875" style="24" bestFit="1" customWidth="1"/>
    <col min="3" max="3" width="20" style="26" customWidth="1"/>
    <col min="4" max="4" width="22" style="43" customWidth="1"/>
    <col min="5" max="5" width="22" style="25" customWidth="1"/>
    <col min="6" max="6" width="20" style="25" customWidth="1"/>
    <col min="7" max="7" width="38" style="24" customWidth="1"/>
    <col min="8" max="8" width="6" style="39" customWidth="1"/>
    <col min="9" max="16384" width="9.19921875" style="39"/>
  </cols>
  <sheetData>
    <row r="1" spans="1:8" ht="30" customHeight="1" x14ac:dyDescent="0.15">
      <c r="B1" s="39"/>
      <c r="C1" s="39"/>
      <c r="D1" s="39"/>
      <c r="E1" s="39"/>
      <c r="F1" s="39"/>
      <c r="G1" s="39"/>
      <c r="H1" s="39" t="s">
        <v>16</v>
      </c>
    </row>
    <row r="2" spans="1:8" s="40" customFormat="1" ht="100" customHeight="1" x14ac:dyDescent="0.55000000000000004">
      <c r="B2" s="55" t="s">
        <v>17</v>
      </c>
      <c r="C2" s="55"/>
      <c r="D2" s="55"/>
      <c r="E2" s="55"/>
      <c r="F2" s="55"/>
      <c r="G2" s="55"/>
    </row>
    <row r="3" spans="1:8" ht="26" customHeight="1" x14ac:dyDescent="0.15">
      <c r="B3" s="39"/>
      <c r="C3" s="39"/>
      <c r="D3" s="39"/>
      <c r="E3" s="39"/>
      <c r="F3" s="39"/>
      <c r="G3" s="39"/>
    </row>
    <row r="4" spans="1:8" ht="30" customHeight="1" x14ac:dyDescent="0.15">
      <c r="B4" s="27" t="s">
        <v>7</v>
      </c>
      <c r="C4" s="28"/>
      <c r="D4" s="28"/>
      <c r="E4" s="29" t="s">
        <v>8</v>
      </c>
      <c r="F4" s="29" t="s">
        <v>31</v>
      </c>
      <c r="G4" s="27" t="s">
        <v>10</v>
      </c>
    </row>
    <row r="5" spans="1:8" s="41" customFormat="1" ht="30" customHeight="1" x14ac:dyDescent="0.15">
      <c r="B5" s="44" t="s">
        <v>30</v>
      </c>
      <c r="C5" s="31"/>
      <c r="D5" s="31"/>
      <c r="E5" s="32">
        <f>'To Do List'!C11</f>
        <v>46214</v>
      </c>
      <c r="F5" s="45" t="str">
        <f ca="1">E5-TODAY() &amp; " days left"</f>
        <v>22 days left</v>
      </c>
      <c r="G5" s="30" t="s">
        <v>38</v>
      </c>
    </row>
    <row r="6" spans="1:8" s="41" customFormat="1" ht="61" customHeight="1" x14ac:dyDescent="0.15">
      <c r="B6" s="42" t="str">
        <f>'To Do List'!B11</f>
        <v>Expense Tracking</v>
      </c>
      <c r="C6" s="39"/>
      <c r="D6" s="39"/>
      <c r="E6" s="39"/>
      <c r="F6" s="39"/>
      <c r="G6" s="39"/>
    </row>
    <row r="7" spans="1:8" ht="30" customHeight="1" x14ac:dyDescent="0.15">
      <c r="A7" s="6"/>
      <c r="B7" s="24" t="s">
        <v>0</v>
      </c>
      <c r="C7" s="24" t="s">
        <v>9</v>
      </c>
      <c r="D7" s="24" t="s">
        <v>2</v>
      </c>
      <c r="E7" s="25" t="s">
        <v>28</v>
      </c>
      <c r="F7" s="25" t="s">
        <v>4</v>
      </c>
      <c r="G7" s="24" t="s">
        <v>1</v>
      </c>
      <c r="H7" s="39" t="s">
        <v>16</v>
      </c>
    </row>
    <row r="8" spans="1:8" ht="30" customHeight="1" x14ac:dyDescent="0.15">
      <c r="A8" s="6"/>
      <c r="B8" s="46" t="s">
        <v>51</v>
      </c>
      <c r="C8" s="36">
        <v>46211</v>
      </c>
      <c r="D8" s="37">
        <v>0</v>
      </c>
      <c r="E8" s="38"/>
      <c r="F8" s="38">
        <v>0</v>
      </c>
      <c r="G8" s="17"/>
    </row>
    <row r="9" spans="1:8" ht="30" customHeight="1" x14ac:dyDescent="0.15">
      <c r="A9" s="6"/>
      <c r="B9" s="46" t="s">
        <v>52</v>
      </c>
      <c r="C9" s="36">
        <v>46211</v>
      </c>
      <c r="D9" s="37">
        <v>0</v>
      </c>
      <c r="E9" s="38"/>
      <c r="F9" s="38">
        <v>0</v>
      </c>
      <c r="G9" s="17"/>
    </row>
    <row r="10" spans="1:8" ht="30" customHeight="1" x14ac:dyDescent="0.15">
      <c r="A10" s="6"/>
      <c r="B10" s="46" t="s">
        <v>53</v>
      </c>
      <c r="C10" s="36">
        <v>46212</v>
      </c>
      <c r="D10" s="37">
        <v>0</v>
      </c>
      <c r="E10" s="38"/>
      <c r="F10" s="38">
        <v>0</v>
      </c>
      <c r="G10" s="17"/>
    </row>
    <row r="11" spans="1:8" ht="30" customHeight="1" x14ac:dyDescent="0.15">
      <c r="A11" s="6"/>
      <c r="B11" s="46" t="s">
        <v>54</v>
      </c>
      <c r="C11" s="36">
        <v>46212</v>
      </c>
      <c r="D11" s="37">
        <v>0</v>
      </c>
      <c r="E11" s="38"/>
      <c r="F11" s="38">
        <v>0</v>
      </c>
      <c r="G11" s="17"/>
    </row>
    <row r="12" spans="1:8" ht="30" customHeight="1" x14ac:dyDescent="0.15">
      <c r="A12" s="6"/>
      <c r="B12" s="46" t="s">
        <v>55</v>
      </c>
      <c r="C12" s="36">
        <v>46214</v>
      </c>
      <c r="D12" s="37">
        <v>0</v>
      </c>
      <c r="E12" s="38"/>
      <c r="F12" s="38">
        <v>0</v>
      </c>
      <c r="G12" s="46"/>
    </row>
    <row r="13" spans="1:8" ht="30" customHeight="1" x14ac:dyDescent="0.15"/>
    <row r="14" spans="1:8" ht="30" customHeight="1" x14ac:dyDescent="0.15"/>
    <row r="15" spans="1:8" ht="30" customHeight="1" x14ac:dyDescent="0.15"/>
    <row r="16" spans="1:8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</sheetData>
  <mergeCells count="1">
    <mergeCell ref="B2:G2"/>
  </mergeCells>
  <conditionalFormatting sqref="B8:G12">
    <cfRule type="expression" dxfId="2" priority="1">
      <formula>AND($C8&gt;=valHStart, $C8&lt;=valHEnd)</formula>
    </cfRule>
  </conditionalFormatting>
  <dataValidations count="13">
    <dataValidation type="list" allowBlank="1" showInputMessage="1" showErrorMessage="1" sqref="E8:E12" xr:uid="{D7ED8577-6297-3F46-9C3B-6814E0793CBA}">
      <formula1>"YES"</formula1>
    </dataValidation>
    <dataValidation allowBlank="1" showInputMessage="1" showErrorMessage="1" prompt="Enter completed status of activity in this column under this heading using the dropdown." sqref="E7" xr:uid="{3B1EAD32-92ED-8B47-8385-CCD709E7E112}"/>
    <dataValidation allowBlank="1" showInputMessage="1" showErrorMessage="1" prompt="Enter notes in this column under this heading" sqref="G7" xr:uid="{291C9369-8EC1-4B4C-8730-FA4D0544CC6C}"/>
    <dataValidation allowBlank="1" showInputMessage="1" showErrorMessage="1" prompt="Enter progress percentage in this column under this heading" sqref="F7" xr:uid="{C40DDD36-6761-C447-9FF1-ACAEDE687FEA}"/>
    <dataValidation allowBlank="1" showInputMessage="1" showErrorMessage="1" prompt="Enter budget in this column under this heading" sqref="D7" xr:uid="{D4722D1F-F1DE-2C44-A903-E28E85991436}"/>
    <dataValidation allowBlank="1" showInputMessage="1" showErrorMessage="1" prompt="Enter due date in this column under this heading" sqref="C7" xr:uid="{8DEA32E2-B2F9-F148-9404-190E9C4C002B}"/>
    <dataValidation allowBlank="1" showInputMessage="1" showErrorMessage="1" prompt="Enter activity name in this column under this heading" sqref="B7" xr:uid="{9C864770-2719-BB4F-939D-F5818497EB7F}"/>
    <dataValidation allowBlank="1" showInputMessage="1" showErrorMessage="1" prompt="Enter project name in this cell" sqref="B6" xr:uid="{F3B924B3-16D0-4D46-A386-ABFE498146C5}"/>
    <dataValidation allowBlank="1" showInputMessage="1" showErrorMessage="1" prompt="Enter project deadline in this cell" sqref="E5" xr:uid="{430A5ABA-A1FF-FF4B-A153-960C80F69AD9}"/>
    <dataValidation allowBlank="1" showInputMessage="1" showErrorMessage="1" prompt="Enter name in this cell" sqref="B5" xr:uid="{1B74C658-4A07-0F4F-8CE2-4BA36DE9E82E}"/>
    <dataValidation allowBlank="1" showInputMessage="1" showErrorMessage="1" prompt="Title of the worksheet is in this cell" sqref="B2:G2" xr:uid="{4081EF8D-3D3C-DE4A-9811-7848C7C125C6}"/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D653B7CC-FFED-2F45-BAE2-56BDCEF9E617}"/>
    <dataValidation type="list" allowBlank="1" showInputMessage="1" prompt="Select which period to automatically highlight using the dropdown in this cell._x000a__x000a_Dropdown options are auto generated using the Settings &amp; Calculations Tab." sqref="G5" xr:uid="{8C59F92F-F4A8-0D4D-A4B0-510405F73924}">
      <formula1>lstToDoHighlights</formula1>
    </dataValidation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C758-CD4C-A54E-B98F-BB481E934BBE}">
  <sheetPr>
    <tabColor theme="9" tint="0.79998168889431442"/>
    <pageSetUpPr autoPageBreaks="0" fitToPage="1"/>
  </sheetPr>
  <dimension ref="A1:H96"/>
  <sheetViews>
    <sheetView showGridLines="0" zoomScaleNormal="100" workbookViewId="0">
      <selection activeCell="F7" sqref="F7"/>
    </sheetView>
  </sheetViews>
  <sheetFormatPr baseColWidth="10" defaultColWidth="9.19921875" defaultRowHeight="18.75" customHeight="1" x14ac:dyDescent="0.15"/>
  <cols>
    <col min="1" max="1" width="6" style="39" customWidth="1"/>
    <col min="2" max="2" width="49.796875" style="24" bestFit="1" customWidth="1"/>
    <col min="3" max="3" width="20" style="26" customWidth="1"/>
    <col min="4" max="4" width="22" style="43" customWidth="1"/>
    <col min="5" max="5" width="22" style="25" customWidth="1"/>
    <col min="6" max="6" width="20" style="25" customWidth="1"/>
    <col min="7" max="7" width="38" style="24" customWidth="1"/>
    <col min="8" max="8" width="6" style="39" customWidth="1"/>
    <col min="9" max="16384" width="9.19921875" style="39"/>
  </cols>
  <sheetData>
    <row r="1" spans="1:8" ht="30" customHeight="1" x14ac:dyDescent="0.15">
      <c r="B1" s="39"/>
      <c r="C1" s="39"/>
      <c r="D1" s="39"/>
      <c r="E1" s="39"/>
      <c r="F1" s="39"/>
      <c r="G1" s="39"/>
      <c r="H1" s="39" t="s">
        <v>16</v>
      </c>
    </row>
    <row r="2" spans="1:8" s="40" customFormat="1" ht="100" customHeight="1" x14ac:dyDescent="0.55000000000000004">
      <c r="B2" s="55" t="s">
        <v>17</v>
      </c>
      <c r="C2" s="55"/>
      <c r="D2" s="55"/>
      <c r="E2" s="55"/>
      <c r="F2" s="55"/>
      <c r="G2" s="55"/>
    </row>
    <row r="3" spans="1:8" ht="26" customHeight="1" x14ac:dyDescent="0.15">
      <c r="B3" s="39"/>
      <c r="C3" s="39"/>
      <c r="D3" s="39"/>
      <c r="E3" s="39"/>
      <c r="F3" s="39"/>
      <c r="G3" s="39"/>
    </row>
    <row r="4" spans="1:8" ht="30" customHeight="1" x14ac:dyDescent="0.15">
      <c r="B4" s="27" t="s">
        <v>7</v>
      </c>
      <c r="C4" s="28"/>
      <c r="D4" s="28"/>
      <c r="E4" s="29" t="s">
        <v>8</v>
      </c>
      <c r="F4" s="29" t="s">
        <v>31</v>
      </c>
      <c r="G4" s="27" t="s">
        <v>10</v>
      </c>
    </row>
    <row r="5" spans="1:8" s="41" customFormat="1" ht="30" customHeight="1" x14ac:dyDescent="0.15">
      <c r="B5" s="44" t="s">
        <v>30</v>
      </c>
      <c r="C5" s="31"/>
      <c r="D5" s="31"/>
      <c r="E5" s="32">
        <f>'To Do List'!C12</f>
        <v>46217</v>
      </c>
      <c r="F5" s="45" t="str">
        <f ca="1">E5-TODAY() &amp; " days left"</f>
        <v>25 days left</v>
      </c>
      <c r="G5" s="30" t="s">
        <v>38</v>
      </c>
    </row>
    <row r="6" spans="1:8" s="41" customFormat="1" ht="61" customHeight="1" x14ac:dyDescent="0.15">
      <c r="B6" s="42" t="str">
        <f>'To Do List'!B12</f>
        <v>Analytics Dashboard</v>
      </c>
      <c r="C6" s="39"/>
      <c r="D6" s="39"/>
      <c r="E6" s="39"/>
      <c r="F6" s="39"/>
      <c r="G6" s="39"/>
    </row>
    <row r="7" spans="1:8" ht="30" customHeight="1" x14ac:dyDescent="0.15">
      <c r="A7" s="6"/>
      <c r="B7" s="24" t="s">
        <v>0</v>
      </c>
      <c r="C7" s="24" t="s">
        <v>9</v>
      </c>
      <c r="D7" s="24" t="s">
        <v>2</v>
      </c>
      <c r="E7" s="25" t="s">
        <v>28</v>
      </c>
      <c r="F7" s="25" t="s">
        <v>4</v>
      </c>
      <c r="G7" s="24" t="s">
        <v>1</v>
      </c>
      <c r="H7" s="39" t="s">
        <v>16</v>
      </c>
    </row>
    <row r="8" spans="1:8" ht="30" customHeight="1" x14ac:dyDescent="0.15">
      <c r="A8" s="6"/>
      <c r="B8" s="46" t="s">
        <v>56</v>
      </c>
      <c r="C8" s="36">
        <v>46215</v>
      </c>
      <c r="D8" s="37">
        <v>0</v>
      </c>
      <c r="E8" s="38"/>
      <c r="F8" s="38">
        <v>0</v>
      </c>
      <c r="G8" s="17"/>
    </row>
    <row r="9" spans="1:8" ht="30" customHeight="1" x14ac:dyDescent="0.15">
      <c r="A9" s="6"/>
      <c r="B9" s="46" t="s">
        <v>57</v>
      </c>
      <c r="C9" s="36">
        <v>46215</v>
      </c>
      <c r="D9" s="37">
        <v>0</v>
      </c>
      <c r="E9" s="38"/>
      <c r="F9" s="38">
        <v>0</v>
      </c>
      <c r="G9" s="17"/>
    </row>
    <row r="10" spans="1:8" ht="30" customHeight="1" x14ac:dyDescent="0.15">
      <c r="A10" s="6"/>
      <c r="B10" s="46" t="s">
        <v>58</v>
      </c>
      <c r="C10" s="36">
        <v>46216</v>
      </c>
      <c r="D10" s="37">
        <v>0</v>
      </c>
      <c r="E10" s="38"/>
      <c r="F10" s="38">
        <v>0</v>
      </c>
      <c r="G10" s="17"/>
    </row>
    <row r="11" spans="1:8" ht="30" customHeight="1" x14ac:dyDescent="0.15">
      <c r="A11" s="6"/>
      <c r="B11" s="46" t="s">
        <v>59</v>
      </c>
      <c r="C11" s="36">
        <v>46216</v>
      </c>
      <c r="D11" s="37">
        <v>0</v>
      </c>
      <c r="E11" s="38"/>
      <c r="F11" s="38">
        <v>0</v>
      </c>
      <c r="G11" s="17"/>
    </row>
    <row r="12" spans="1:8" ht="30" customHeight="1" x14ac:dyDescent="0.15">
      <c r="A12" s="6"/>
      <c r="B12" s="46" t="s">
        <v>60</v>
      </c>
      <c r="C12" s="36">
        <v>46217</v>
      </c>
      <c r="D12" s="37">
        <v>0</v>
      </c>
      <c r="E12" s="38"/>
      <c r="F12" s="38">
        <v>0</v>
      </c>
      <c r="G12" s="46"/>
    </row>
    <row r="13" spans="1:8" ht="30" customHeight="1" x14ac:dyDescent="0.15">
      <c r="A13" s="6"/>
      <c r="B13" s="46" t="s">
        <v>61</v>
      </c>
      <c r="C13" s="47">
        <v>46217</v>
      </c>
      <c r="D13" s="48">
        <v>0</v>
      </c>
      <c r="E13" s="49"/>
      <c r="F13" s="49">
        <v>0</v>
      </c>
      <c r="G13" s="46"/>
    </row>
    <row r="14" spans="1:8" ht="30" customHeight="1" x14ac:dyDescent="0.15"/>
    <row r="15" spans="1:8" ht="30" customHeight="1" x14ac:dyDescent="0.15"/>
    <row r="16" spans="1:8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</sheetData>
  <mergeCells count="1">
    <mergeCell ref="B2:G2"/>
  </mergeCells>
  <conditionalFormatting sqref="B8:G13">
    <cfRule type="expression" dxfId="1" priority="1">
      <formula>AND($C8&gt;=valHStart, $C8&lt;=valHEnd)</formula>
    </cfRule>
  </conditionalFormatting>
  <dataValidations count="13">
    <dataValidation type="list" allowBlank="1" showInputMessage="1" prompt="Select which period to automatically highlight using the dropdown in this cell._x000a__x000a_Dropdown options are auto generated using the Settings &amp; Calculations Tab." sqref="G5" xr:uid="{2E3D333C-4FD2-424F-8433-63341DD74109}">
      <formula1>lstToDoHighlights</formula1>
    </dataValidation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585D3D38-3214-A543-9213-42C9865BC60A}"/>
    <dataValidation allowBlank="1" showInputMessage="1" showErrorMessage="1" prompt="Title of the worksheet is in this cell" sqref="B2:G2" xr:uid="{8EBBD89E-937C-F14C-B558-44C328FE9CDC}"/>
    <dataValidation allowBlank="1" showInputMessage="1" showErrorMessage="1" prompt="Enter name in this cell" sqref="B5" xr:uid="{33004E4A-D883-1D45-B70B-95C99B3D9AE7}"/>
    <dataValidation allowBlank="1" showInputMessage="1" showErrorMessage="1" prompt="Enter project deadline in this cell" sqref="E5" xr:uid="{57625CCA-234E-3244-B770-5D293192CAD1}"/>
    <dataValidation allowBlank="1" showInputMessage="1" showErrorMessage="1" prompt="Enter project name in this cell" sqref="B6" xr:uid="{52B5FF6F-3C08-BE48-8FB2-DAF76D25DD83}"/>
    <dataValidation allowBlank="1" showInputMessage="1" showErrorMessage="1" prompt="Enter activity name in this column under this heading" sqref="B7" xr:uid="{5721F323-25F6-124A-BAE4-A8994CFD38D3}"/>
    <dataValidation allowBlank="1" showInputMessage="1" showErrorMessage="1" prompt="Enter due date in this column under this heading" sqref="C7" xr:uid="{836EA9BB-EA06-A04B-993C-18F85972F2FC}"/>
    <dataValidation allowBlank="1" showInputMessage="1" showErrorMessage="1" prompt="Enter budget in this column under this heading" sqref="D7" xr:uid="{7576D73B-EDFE-AF45-9026-9152FC5DF9CA}"/>
    <dataValidation allowBlank="1" showInputMessage="1" showErrorMessage="1" prompt="Enter progress percentage in this column under this heading" sqref="F7" xr:uid="{28F4620C-1B76-5544-8547-8EBDA570B39E}"/>
    <dataValidation allowBlank="1" showInputMessage="1" showErrorMessage="1" prompt="Enter notes in this column under this heading" sqref="G7" xr:uid="{DBC4DC29-5B59-0D4D-9E39-51E668A188AC}"/>
    <dataValidation allowBlank="1" showInputMessage="1" showErrorMessage="1" prompt="Enter completed status of activity in this column under this heading using the dropdown." sqref="E7" xr:uid="{6229F763-541E-4F45-8B81-0763C9FDA9F9}"/>
    <dataValidation type="list" allowBlank="1" showInputMessage="1" showErrorMessage="1" sqref="E8:E13" xr:uid="{56789221-8120-CB41-A469-85A64D2D6F22}">
      <formula1>"YES"</formula1>
    </dataValidation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0994-548E-5143-A786-DE6FB4653FC9}">
  <sheetPr>
    <tabColor theme="9" tint="0.79998168889431442"/>
    <pageSetUpPr autoPageBreaks="0" fitToPage="1"/>
  </sheetPr>
  <dimension ref="A1:H95"/>
  <sheetViews>
    <sheetView showGridLines="0" zoomScaleNormal="100" workbookViewId="0">
      <selection activeCell="D16" sqref="D16"/>
    </sheetView>
  </sheetViews>
  <sheetFormatPr baseColWidth="10" defaultColWidth="9.19921875" defaultRowHeight="18.75" customHeight="1" x14ac:dyDescent="0.15"/>
  <cols>
    <col min="1" max="1" width="6" style="39" customWidth="1"/>
    <col min="2" max="2" width="49.796875" style="24" bestFit="1" customWidth="1"/>
    <col min="3" max="3" width="20" style="26" customWidth="1"/>
    <col min="4" max="4" width="22" style="43" customWidth="1"/>
    <col min="5" max="5" width="22" style="25" customWidth="1"/>
    <col min="6" max="6" width="20" style="25" customWidth="1"/>
    <col min="7" max="7" width="38" style="24" customWidth="1"/>
    <col min="8" max="8" width="6" style="39" customWidth="1"/>
    <col min="9" max="16384" width="9.19921875" style="39"/>
  </cols>
  <sheetData>
    <row r="1" spans="1:8" ht="30" customHeight="1" x14ac:dyDescent="0.15">
      <c r="B1" s="39"/>
      <c r="C1" s="39"/>
      <c r="D1" s="39"/>
      <c r="E1" s="39"/>
      <c r="F1" s="39"/>
      <c r="G1" s="39"/>
      <c r="H1" s="39" t="s">
        <v>16</v>
      </c>
    </row>
    <row r="2" spans="1:8" s="40" customFormat="1" ht="100" customHeight="1" x14ac:dyDescent="0.55000000000000004">
      <c r="B2" s="55" t="s">
        <v>17</v>
      </c>
      <c r="C2" s="55"/>
      <c r="D2" s="55"/>
      <c r="E2" s="55"/>
      <c r="F2" s="55"/>
      <c r="G2" s="55"/>
    </row>
    <row r="3" spans="1:8" ht="26" customHeight="1" x14ac:dyDescent="0.15">
      <c r="B3" s="39"/>
      <c r="C3" s="39"/>
      <c r="D3" s="39"/>
      <c r="E3" s="39"/>
      <c r="F3" s="39"/>
      <c r="G3" s="39"/>
    </row>
    <row r="4" spans="1:8" ht="30" customHeight="1" x14ac:dyDescent="0.15">
      <c r="B4" s="27" t="s">
        <v>7</v>
      </c>
      <c r="C4" s="28"/>
      <c r="D4" s="28"/>
      <c r="E4" s="29" t="s">
        <v>8</v>
      </c>
      <c r="F4" s="29" t="s">
        <v>31</v>
      </c>
      <c r="G4" s="27" t="s">
        <v>10</v>
      </c>
    </row>
    <row r="5" spans="1:8" s="41" customFormat="1" ht="30" customHeight="1" x14ac:dyDescent="0.15">
      <c r="B5" s="44" t="s">
        <v>30</v>
      </c>
      <c r="C5" s="31"/>
      <c r="D5" s="31"/>
      <c r="E5" s="32">
        <f>'To Do List'!C13</f>
        <v>46228</v>
      </c>
      <c r="F5" s="45" t="str">
        <f ca="1">E5-TODAY() &amp; " days left"</f>
        <v>36 days left</v>
      </c>
      <c r="G5" s="30" t="s">
        <v>38</v>
      </c>
    </row>
    <row r="6" spans="1:8" s="41" customFormat="1" ht="61" customHeight="1" x14ac:dyDescent="0.15">
      <c r="B6" s="42" t="str">
        <f>'To Do List'!B13</f>
        <v>Smarter Extraction</v>
      </c>
      <c r="C6" s="39"/>
      <c r="D6" s="39"/>
      <c r="E6" s="39"/>
      <c r="F6" s="39"/>
      <c r="G6" s="39"/>
    </row>
    <row r="7" spans="1:8" ht="30" customHeight="1" x14ac:dyDescent="0.15">
      <c r="A7" s="6"/>
      <c r="B7" s="24" t="s">
        <v>0</v>
      </c>
      <c r="C7" s="24" t="s">
        <v>9</v>
      </c>
      <c r="D7" s="24" t="s">
        <v>2</v>
      </c>
      <c r="E7" s="25" t="s">
        <v>28</v>
      </c>
      <c r="F7" s="25" t="s">
        <v>4</v>
      </c>
      <c r="G7" s="24" t="s">
        <v>1</v>
      </c>
      <c r="H7" s="39" t="s">
        <v>16</v>
      </c>
    </row>
    <row r="8" spans="1:8" ht="30" customHeight="1" x14ac:dyDescent="0.15">
      <c r="A8" s="6"/>
      <c r="B8" s="46" t="s">
        <v>62</v>
      </c>
      <c r="C8" s="36">
        <v>46219</v>
      </c>
      <c r="D8" s="37">
        <v>0</v>
      </c>
      <c r="E8" s="38"/>
      <c r="F8" s="38">
        <v>0</v>
      </c>
      <c r="G8" s="17"/>
    </row>
    <row r="9" spans="1:8" ht="30" customHeight="1" x14ac:dyDescent="0.15">
      <c r="A9" s="6"/>
      <c r="B9" s="46" t="s">
        <v>63</v>
      </c>
      <c r="C9" s="36">
        <v>46222</v>
      </c>
      <c r="D9" s="37">
        <v>0</v>
      </c>
      <c r="E9" s="38"/>
      <c r="F9" s="38">
        <v>0</v>
      </c>
      <c r="G9" s="17"/>
    </row>
    <row r="10" spans="1:8" ht="30" customHeight="1" x14ac:dyDescent="0.15">
      <c r="A10" s="6"/>
      <c r="B10" s="46" t="s">
        <v>64</v>
      </c>
      <c r="C10" s="36">
        <v>46224</v>
      </c>
      <c r="D10" s="37">
        <v>0</v>
      </c>
      <c r="E10" s="38"/>
      <c r="F10" s="38">
        <v>0</v>
      </c>
      <c r="G10" s="17"/>
    </row>
    <row r="11" spans="1:8" ht="30" customHeight="1" x14ac:dyDescent="0.15">
      <c r="A11" s="6"/>
      <c r="B11" s="46" t="s">
        <v>65</v>
      </c>
      <c r="C11" s="36">
        <v>46226</v>
      </c>
      <c r="D11" s="37">
        <v>0</v>
      </c>
      <c r="E11" s="38"/>
      <c r="F11" s="38">
        <v>0</v>
      </c>
      <c r="G11" s="17"/>
    </row>
    <row r="12" spans="1:8" ht="30" customHeight="1" x14ac:dyDescent="0.15">
      <c r="A12" s="6"/>
      <c r="B12" s="46" t="s">
        <v>66</v>
      </c>
      <c r="C12" s="36">
        <v>46228</v>
      </c>
      <c r="D12" s="37">
        <v>0</v>
      </c>
      <c r="E12" s="38"/>
      <c r="F12" s="38">
        <v>0</v>
      </c>
      <c r="G12" s="46" t="s">
        <v>67</v>
      </c>
    </row>
    <row r="13" spans="1:8" ht="30" customHeight="1" x14ac:dyDescent="0.15"/>
    <row r="14" spans="1:8" ht="30" customHeight="1" x14ac:dyDescent="0.15"/>
    <row r="15" spans="1:8" ht="30" customHeight="1" x14ac:dyDescent="0.15"/>
    <row r="16" spans="1:8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</sheetData>
  <mergeCells count="1">
    <mergeCell ref="B2:G2"/>
  </mergeCells>
  <conditionalFormatting sqref="B8:G12">
    <cfRule type="expression" dxfId="0" priority="2">
      <formula>AND($C8&gt;=valHStart, $C8&lt;=valHEnd)</formula>
    </cfRule>
  </conditionalFormatting>
  <dataValidations count="13">
    <dataValidation type="list" allowBlank="1" showInputMessage="1" showErrorMessage="1" sqref="E8:E12" xr:uid="{446336A4-0957-604A-A6AA-DF21D50D4682}">
      <formula1>"YES"</formula1>
    </dataValidation>
    <dataValidation allowBlank="1" showInputMessage="1" showErrorMessage="1" prompt="Enter completed status of activity in this column under this heading using the dropdown." sqref="E7" xr:uid="{B2D05046-6DF5-3749-9A54-B8EF921B0197}"/>
    <dataValidation allowBlank="1" showInputMessage="1" showErrorMessage="1" prompt="Enter notes in this column under this heading" sqref="G7" xr:uid="{A1B3D3C7-7ABC-9040-8324-B5666412A9E4}"/>
    <dataValidation allowBlank="1" showInputMessage="1" showErrorMessage="1" prompt="Enter progress percentage in this column under this heading" sqref="F7" xr:uid="{BBD20593-7F5C-5542-8F2C-0EDF0E4C3AD8}"/>
    <dataValidation allowBlank="1" showInputMessage="1" showErrorMessage="1" prompt="Enter budget in this column under this heading" sqref="D7" xr:uid="{1150DB18-1C75-4443-8D6F-64D29FAD2447}"/>
    <dataValidation allowBlank="1" showInputMessage="1" showErrorMessage="1" prompt="Enter due date in this column under this heading" sqref="C7" xr:uid="{B4C32627-7E56-BB46-97B7-CCBF9D58E193}"/>
    <dataValidation allowBlank="1" showInputMessage="1" showErrorMessage="1" prompt="Enter activity name in this column under this heading" sqref="B7" xr:uid="{8FCB6AA2-292D-9846-819F-B286D628E211}"/>
    <dataValidation allowBlank="1" showInputMessage="1" showErrorMessage="1" prompt="Enter project name in this cell" sqref="B6" xr:uid="{D0ABB045-1EC7-A249-A1DD-C9BAF02DE1E7}"/>
    <dataValidation allowBlank="1" showInputMessage="1" showErrorMessage="1" prompt="Enter project deadline in this cell" sqref="E5" xr:uid="{DEC512EC-E873-5E4F-9B47-4A81F8378785}"/>
    <dataValidation allowBlank="1" showInputMessage="1" showErrorMessage="1" prompt="Enter name in this cell" sqref="B5" xr:uid="{B780178F-BBCC-294D-9308-CF7583566CFB}"/>
    <dataValidation allowBlank="1" showInputMessage="1" showErrorMessage="1" prompt="Title of the worksheet is in this cell" sqref="B2:G2" xr:uid="{8B05F330-1591-9C48-B88B-8B37F629B63A}"/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F3F0AED5-D403-6546-BA01-CA4A3A194117}"/>
    <dataValidation type="list" allowBlank="1" showInputMessage="1" prompt="Select which period to automatically highlight using the dropdown in this cell._x000a__x000a_Dropdown options are auto generated using the Settings &amp; Calculations Tab." sqref="G5" xr:uid="{BC85A4F6-FD0A-334B-9CDF-A1990D76C5F8}">
      <formula1>lstToDoHighlights</formula1>
    </dataValidation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/>
    <pageSetUpPr autoPageBreaks="0" fitToPage="1"/>
  </sheetPr>
  <dimension ref="A1:F100"/>
  <sheetViews>
    <sheetView showGridLines="0" zoomScaleNormal="100" workbookViewId="0">
      <selection activeCell="C17" sqref="C17"/>
    </sheetView>
  </sheetViews>
  <sheetFormatPr baseColWidth="10" defaultColWidth="9.19921875" defaultRowHeight="18.75" customHeight="1" x14ac:dyDescent="0.15"/>
  <cols>
    <col min="1" max="1" width="6" style="39" customWidth="1"/>
    <col min="2" max="2" width="30" style="39" customWidth="1"/>
    <col min="3" max="3" width="36" style="39" customWidth="1"/>
    <col min="4" max="4" width="40" style="39" customWidth="1"/>
    <col min="5" max="5" width="38" style="39" customWidth="1"/>
    <col min="6" max="6" width="6" style="39" customWidth="1"/>
    <col min="7" max="16384" width="9.19921875" style="39"/>
  </cols>
  <sheetData>
    <row r="1" spans="1:6" ht="30" customHeight="1" x14ac:dyDescent="0.15">
      <c r="A1" s="6"/>
      <c r="B1" s="6"/>
      <c r="C1" s="6"/>
      <c r="D1" s="6"/>
      <c r="E1" s="6"/>
      <c r="F1" s="39" t="s">
        <v>16</v>
      </c>
    </row>
    <row r="2" spans="1:6" s="40" customFormat="1" ht="100" customHeight="1" x14ac:dyDescent="0.55000000000000004">
      <c r="A2" s="1"/>
      <c r="B2" s="55" t="s">
        <v>19</v>
      </c>
      <c r="C2" s="55"/>
      <c r="D2" s="55"/>
      <c r="E2" s="55"/>
    </row>
    <row r="3" spans="1:6" ht="26" customHeight="1" x14ac:dyDescent="0.15">
      <c r="A3" s="6"/>
      <c r="B3" s="6"/>
      <c r="C3" s="6"/>
      <c r="D3" s="6"/>
      <c r="E3" s="6"/>
    </row>
    <row r="4" spans="1:6" ht="60" customHeight="1" x14ac:dyDescent="0.15">
      <c r="A4" s="6"/>
      <c r="B4" s="58" t="s">
        <v>29</v>
      </c>
      <c r="C4" s="58"/>
      <c r="D4" s="58"/>
      <c r="E4" s="58"/>
    </row>
    <row r="5" spans="1:6" s="41" customFormat="1" ht="60" customHeight="1" x14ac:dyDescent="0.15">
      <c r="A5" s="7"/>
      <c r="B5" s="8" t="s">
        <v>15</v>
      </c>
      <c r="C5" s="9"/>
      <c r="D5" s="9"/>
      <c r="E5" s="8" t="str">
        <f>B5</f>
        <v>No Highlight</v>
      </c>
      <c r="F5" s="24"/>
    </row>
    <row r="6" spans="1:6" s="41" customFormat="1" ht="30" customHeight="1" x14ac:dyDescent="0.15">
      <c r="A6" s="7"/>
      <c r="B6" s="2" t="s">
        <v>12</v>
      </c>
      <c r="C6" s="3" t="s">
        <v>13</v>
      </c>
      <c r="D6" s="2" t="s">
        <v>14</v>
      </c>
      <c r="E6" s="2" t="s">
        <v>11</v>
      </c>
      <c r="F6" s="24"/>
    </row>
    <row r="7" spans="1:6" s="41" customFormat="1" ht="30" customHeight="1" x14ac:dyDescent="0.15">
      <c r="A7" s="7"/>
      <c r="B7" s="10" t="s">
        <v>20</v>
      </c>
      <c r="C7" s="11">
        <f ca="1">TODAY()-WEEKDAY(TODAY(),2)+1</f>
        <v>46188</v>
      </c>
      <c r="D7" s="11">
        <f ca="1">C7+6</f>
        <v>46194</v>
      </c>
      <c r="E7" s="10" t="str">
        <f ca="1">B7&amp;" ["&amp;TEXT(C7,"d mmm")&amp;" - "&amp;TEXT(D7,"d mmm")&amp;"]"</f>
        <v>This Week [15 Jun - 21 Jun]</v>
      </c>
      <c r="F7" s="24"/>
    </row>
    <row r="8" spans="1:6" s="41" customFormat="1" ht="30" customHeight="1" x14ac:dyDescent="0.15">
      <c r="A8" s="7"/>
      <c r="B8" s="10" t="s">
        <v>21</v>
      </c>
      <c r="C8" s="11">
        <f ca="1">EOMONTH(TODAY(),-1)+1</f>
        <v>46174</v>
      </c>
      <c r="D8" s="11">
        <f ca="1">EDATE(C8,1)-1</f>
        <v>46203</v>
      </c>
      <c r="E8" s="10" t="str">
        <f ca="1">B8&amp;" ["&amp;TEXT(C8,"d")&amp;" - "&amp;TEXT(D8,"d, mmm")&amp;"]"</f>
        <v>This Month [1 - 30, Jun]</v>
      </c>
      <c r="F8" s="24"/>
    </row>
    <row r="9" spans="1:6" s="41" customFormat="1" ht="30" customHeight="1" x14ac:dyDescent="0.15">
      <c r="A9" s="7"/>
      <c r="B9" s="10" t="s">
        <v>22</v>
      </c>
      <c r="C9" s="11">
        <f ca="1">DATE(YEAR(TODAY()),INT(MONTH(TODAY())/3)+1,1)</f>
        <v>46082</v>
      </c>
      <c r="D9" s="11">
        <f ca="1">EDATE(C9,4)-1</f>
        <v>46203</v>
      </c>
      <c r="E9" s="10" t="str">
        <f ca="1">B9&amp;" ["&amp;TEXT(C9,"d mmm")&amp;" - "&amp;TEXT(D9,"d mmm")&amp;"]"</f>
        <v>This Quarter [1 Mar - 30 Jun]</v>
      </c>
      <c r="F9" s="24"/>
    </row>
    <row r="10" spans="1:6" s="41" customFormat="1" ht="30" customHeight="1" x14ac:dyDescent="0.15">
      <c r="A10" s="7"/>
      <c r="B10" s="12" t="s">
        <v>23</v>
      </c>
      <c r="C10" s="13">
        <f ca="1">DATE(YEAR(TODAY()),1,1)</f>
        <v>46023</v>
      </c>
      <c r="D10" s="13">
        <f ca="1">EDATE(C10,12)-1</f>
        <v>46387</v>
      </c>
      <c r="E10" s="12" t="str">
        <f ca="1">B10&amp;" ["&amp;TEXT(C10,"yyyy")&amp;"]"</f>
        <v>This Year [2026]</v>
      </c>
      <c r="F10" s="24"/>
    </row>
    <row r="11" spans="1:6" s="41" customFormat="1" ht="30" customHeight="1" x14ac:dyDescent="0.15">
      <c r="A11" s="7"/>
      <c r="B11" s="4" t="s">
        <v>12</v>
      </c>
      <c r="C11" s="14"/>
      <c r="D11" s="14"/>
      <c r="E11" s="4" t="str">
        <f>B11</f>
        <v>Interval:</v>
      </c>
      <c r="F11" s="24"/>
    </row>
    <row r="12" spans="1:6" s="41" customFormat="1" ht="30" customHeight="1" x14ac:dyDescent="0.15">
      <c r="A12" s="7"/>
      <c r="B12" s="15" t="s">
        <v>24</v>
      </c>
      <c r="C12" s="16">
        <f ca="1">C7-7</f>
        <v>46181</v>
      </c>
      <c r="D12" s="16">
        <f ca="1">C12+6</f>
        <v>46187</v>
      </c>
      <c r="E12" s="15" t="str">
        <f ca="1">B12&amp;" ["&amp;TEXT(C12,"d mmm")&amp;" - "&amp;TEXT(D12,"d mmm")&amp;"]"</f>
        <v>Last Week [8 Jun - 14 Jun]</v>
      </c>
      <c r="F12" s="24"/>
    </row>
    <row r="13" spans="1:6" s="41" customFormat="1" ht="30" customHeight="1" x14ac:dyDescent="0.15">
      <c r="A13" s="7"/>
      <c r="B13" s="15" t="s">
        <v>25</v>
      </c>
      <c r="C13" s="16">
        <f ca="1">EDATE(C8,-1)</f>
        <v>46143</v>
      </c>
      <c r="D13" s="16">
        <f ca="1">EDATE(C13,1)-1</f>
        <v>46173</v>
      </c>
      <c r="E13" s="15" t="str">
        <f ca="1">B13&amp;" ["&amp;TEXT(C13,"d")&amp;" - "&amp;TEXT(D13,"d, mmm")&amp;"]"</f>
        <v>Last Month [1 - 31, May]</v>
      </c>
      <c r="F13" s="24"/>
    </row>
    <row r="14" spans="1:6" s="41" customFormat="1" ht="30" customHeight="1" x14ac:dyDescent="0.15">
      <c r="A14" s="7"/>
      <c r="B14" s="15" t="s">
        <v>26</v>
      </c>
      <c r="C14" s="16">
        <f ca="1">EDATE(C9,-3)</f>
        <v>45992</v>
      </c>
      <c r="D14" s="16">
        <f ca="1">EDATE(C14,3)-1</f>
        <v>46081</v>
      </c>
      <c r="E14" s="15" t="str">
        <f ca="1">B14&amp;" ["&amp;TEXT(C14,"d mmm")&amp;" - "&amp;TEXT(D14,"d mmm")&amp;"]"</f>
        <v>Last Quarter [1 Dec - 28 Feb]</v>
      </c>
      <c r="F14" s="24"/>
    </row>
    <row r="15" spans="1:6" s="41" customFormat="1" ht="30" customHeight="1" x14ac:dyDescent="0.15">
      <c r="A15" s="7"/>
      <c r="B15" s="17" t="s">
        <v>27</v>
      </c>
      <c r="C15" s="18">
        <f ca="1">EDATE(C10,-12)</f>
        <v>45658</v>
      </c>
      <c r="D15" s="18">
        <f ca="1">EDATE(C15,12)-1</f>
        <v>46022</v>
      </c>
      <c r="E15" s="17" t="str">
        <f>B15</f>
        <v>Last Year</v>
      </c>
      <c r="F15" s="24"/>
    </row>
    <row r="16" spans="1:6" ht="30" customHeight="1" x14ac:dyDescent="0.15">
      <c r="A16" s="6"/>
      <c r="B16" s="5" t="s">
        <v>18</v>
      </c>
      <c r="C16" s="19">
        <f ca="1">IFERROR(MATCH(HighlightActivities,lstToDoHighlights,0),"")</f>
        <v>3</v>
      </c>
      <c r="D16" s="19" t="str">
        <f>HighlightActivities</f>
        <v>This Week [15 Jun - 21 Jun]</v>
      </c>
      <c r="E16" s="19" t="b">
        <f ca="1">ISNUMBER(INDEX($C$5:$C$15,C16))</f>
        <v>1</v>
      </c>
      <c r="F16" s="24"/>
    </row>
    <row r="17" spans="1:6" ht="30" customHeight="1" x14ac:dyDescent="0.15">
      <c r="A17" s="6"/>
      <c r="B17" s="20" t="s">
        <v>5</v>
      </c>
      <c r="C17" s="21">
        <f ca="1">IFERROR(IF(C16=1,"",IF(E16,INDEX($C$5:$C$15,$C$16),"")),"")</f>
        <v>46188</v>
      </c>
      <c r="D17" s="20"/>
      <c r="E17" s="20"/>
      <c r="F17" s="24"/>
    </row>
    <row r="18" spans="1:6" ht="30" customHeight="1" x14ac:dyDescent="0.15">
      <c r="A18" s="6"/>
      <c r="B18" s="22" t="s">
        <v>6</v>
      </c>
      <c r="C18" s="23">
        <f ca="1">IFERROR(IF(C16=1,"",IF(E16,INDEX($D$5:$D$15,$C$16),"")),"")</f>
        <v>46194</v>
      </c>
      <c r="D18" s="22"/>
      <c r="E18" s="22"/>
      <c r="F18" s="24"/>
    </row>
    <row r="19" spans="1:6" ht="30" customHeight="1" x14ac:dyDescent="0.15">
      <c r="B19" s="24"/>
      <c r="C19" s="24"/>
      <c r="D19" s="24"/>
      <c r="E19" s="24"/>
    </row>
    <row r="20" spans="1:6" ht="30" customHeight="1" x14ac:dyDescent="0.15"/>
    <row r="21" spans="1:6" ht="30" customHeight="1" x14ac:dyDescent="0.15"/>
    <row r="22" spans="1:6" ht="30" customHeight="1" x14ac:dyDescent="0.15"/>
    <row r="23" spans="1:6" ht="30" customHeight="1" x14ac:dyDescent="0.15"/>
    <row r="24" spans="1:6" ht="30" customHeight="1" x14ac:dyDescent="0.15"/>
    <row r="25" spans="1:6" ht="30" customHeight="1" x14ac:dyDescent="0.15"/>
    <row r="26" spans="1:6" ht="30" customHeight="1" x14ac:dyDescent="0.15"/>
    <row r="27" spans="1:6" ht="30" customHeight="1" x14ac:dyDescent="0.15"/>
    <row r="28" spans="1:6" ht="30" customHeight="1" x14ac:dyDescent="0.15"/>
    <row r="29" spans="1:6" ht="30" customHeight="1" x14ac:dyDescent="0.15"/>
    <row r="30" spans="1:6" ht="30" customHeight="1" x14ac:dyDescent="0.15"/>
    <row r="31" spans="1:6" ht="30" customHeight="1" x14ac:dyDescent="0.15"/>
    <row r="32" spans="1:6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  <row r="97" ht="30" customHeight="1" x14ac:dyDescent="0.15"/>
    <row r="98" ht="30" customHeight="1" x14ac:dyDescent="0.15"/>
    <row r="99" ht="30" customHeight="1" x14ac:dyDescent="0.15"/>
    <row r="100" ht="30" customHeight="1" x14ac:dyDescent="0.15"/>
  </sheetData>
  <mergeCells count="2">
    <mergeCell ref="B4:E4"/>
    <mergeCell ref="B2:E2"/>
  </mergeCells>
  <printOptions horizontalCentered="1"/>
  <pageMargins left="0.25" right="0.25" top="0.75" bottom="0.75" header="0.3" footer="0.3"/>
  <pageSetup scale="68" fitToHeight="0" orientation="portrait" r:id="rId1"/>
  <ignoredErrors>
    <ignoredError sqref="E8 E1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A06679-0732-48DE-9C1D-970915ED22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F260538B-CFD0-4396-B2E6-675188AE0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8A99CD-069C-43CF-A039-37A9BBC017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TM02930042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To Do List</vt:lpstr>
      <vt:lpstr>MAP Checklist</vt:lpstr>
      <vt:lpstr>Dispatch Automation</vt:lpstr>
      <vt:lpstr>Expense Tracking</vt:lpstr>
      <vt:lpstr>Analytics Dashboard</vt:lpstr>
      <vt:lpstr>Smarter Extraction</vt:lpstr>
      <vt:lpstr>Settings &amp; Calculations</vt:lpstr>
      <vt:lpstr>'Analytics Dashboard'!HighlightActivities</vt:lpstr>
      <vt:lpstr>'Dispatch Automation'!HighlightActivities</vt:lpstr>
      <vt:lpstr>'Expense Tracking'!HighlightActivities</vt:lpstr>
      <vt:lpstr>'MAP Checklist'!HighlightActivities</vt:lpstr>
      <vt:lpstr>'Smarter Extraction'!HighlightActivities</vt:lpstr>
      <vt:lpstr>HighlightActivities</vt:lpstr>
      <vt:lpstr>lstToDoHighlights</vt:lpstr>
      <vt:lpstr>'Analytics Dashboard'!Print_Area</vt:lpstr>
      <vt:lpstr>'Dispatch Automation'!Print_Area</vt:lpstr>
      <vt:lpstr>'Expense Tracking'!Print_Area</vt:lpstr>
      <vt:lpstr>'MAP Checklist'!Print_Area</vt:lpstr>
      <vt:lpstr>'Smarter Extraction'!Print_Area</vt:lpstr>
      <vt:lpstr>'To Do List'!Print_Area</vt:lpstr>
      <vt:lpstr>valHEnd</vt:lpstr>
      <vt:lpstr>valHStart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2023-10-05T14:48:00Z</dcterms:created>
  <dcterms:modified xsi:type="dcterms:W3CDTF">2026-06-20T04:51:40Z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